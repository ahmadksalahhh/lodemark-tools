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hmadk_salah/Desktop/"/>
    </mc:Choice>
  </mc:AlternateContent>
  <xr:revisionPtr revIDLastSave="0" documentId="13_ncr:1_{2DF59595-41DE-B740-8C30-8E1DB445D07F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Platform Sales" sheetId="1" r:id="rId1"/>
    <sheet name="Cash Visa Tips Credit" sheetId="2" r:id="rId2"/>
    <sheet name="Instruction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J42" i="1"/>
  <c r="J137" i="2"/>
  <c r="J37" i="1"/>
  <c r="J121" i="2"/>
  <c r="J107" i="2"/>
</calcChain>
</file>

<file path=xl/sharedStrings.xml><?xml version="1.0" encoding="utf-8"?>
<sst xmlns="http://schemas.openxmlformats.org/spreadsheetml/2006/main" count="796" uniqueCount="147">
  <si>
    <t>Branch</t>
  </si>
  <si>
    <t>Date</t>
  </si>
  <si>
    <t>Deliveroo</t>
  </si>
  <si>
    <t>Talabat</t>
  </si>
  <si>
    <t>Careem</t>
  </si>
  <si>
    <t>Noon</t>
  </si>
  <si>
    <t>Keeta</t>
  </si>
  <si>
    <t>Smile</t>
  </si>
  <si>
    <t>TDH</t>
  </si>
  <si>
    <t>Meal Plan Revenue</t>
  </si>
  <si>
    <t>Etihad Mall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</si>
  <si>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</si>
  <si>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</si>
  <si>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</si>
  <si>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</si>
  <si>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</si>
  <si>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</si>
  <si>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</si>
  <si>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</si>
  <si>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</si>
  <si>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</si>
  <si>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</si>
  <si>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</si>
  <si>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</si>
  <si>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</si>
  <si>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</si>
  <si>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Hessa</t>
  </si>
  <si>
    <t>Lifter Life Jumeirah</t>
  </si>
  <si>
    <t>MAMA'S Hessa</t>
  </si>
  <si>
    <t>PRTNX by Lifter Life-jum PRTNX By Lifter -Jum</t>
  </si>
  <si>
    <t>Pizza Di Como Hessa</t>
  </si>
  <si>
    <t>Sushi Nakamoto Hessa</t>
  </si>
  <si>
    <t>Sushi Nakamoto Jumeirah</t>
  </si>
  <si>
    <t>Cash</t>
  </si>
  <si>
    <t>Visa</t>
  </si>
  <si>
    <t>Credit Card Tips</t>
  </si>
  <si>
    <t>Entry Type</t>
  </si>
  <si>
    <t>Customer/Company Name</t>
  </si>
  <si>
    <t>Amount</t>
  </si>
  <si>
    <t>Cash and Visa Meal Plan</t>
  </si>
  <si>
    <t>Payfort Meal Plan</t>
  </si>
  <si>
    <t>24 Fitness -Lifter Life Healthy Restaurant 24 Fitness Branch</t>
  </si>
  <si>
    <t>New Credit Sale</t>
  </si>
  <si>
    <t>Mr.Haitham Belhasa</t>
  </si>
  <si>
    <t xml:space="preserve">Guido Trainer </t>
  </si>
  <si>
    <t xml:space="preserve">Daniel </t>
  </si>
  <si>
    <t xml:space="preserve">reyhan </t>
  </si>
  <si>
    <t>Payment Received (Visa)</t>
  </si>
  <si>
    <t>Guido Trainer</t>
  </si>
  <si>
    <t>reyhan</t>
  </si>
  <si>
    <t>M.Atef Elesaad</t>
  </si>
  <si>
    <t>Daniel</t>
  </si>
  <si>
    <t>Mr.Humaid Altayer owner 24 Fitness</t>
  </si>
  <si>
    <t xml:space="preserve">George hajjar </t>
  </si>
  <si>
    <t>George hajjar</t>
  </si>
  <si>
    <t>Belhasa Gym Management</t>
  </si>
  <si>
    <t>Farah Rostamzad</t>
  </si>
  <si>
    <t>Mustafa Alhassan</t>
  </si>
  <si>
    <t>Branko Lopicic</t>
  </si>
  <si>
    <t>Tijana Grujic</t>
  </si>
  <si>
    <t>Taha Alhindi</t>
  </si>
  <si>
    <t>sultan al Nakhi</t>
  </si>
  <si>
    <t>Amar Mustafa Fahmy</t>
  </si>
  <si>
    <t>Reem Azzi</t>
  </si>
  <si>
    <t>Thamim Ashique</t>
  </si>
  <si>
    <t>Milan Lazic</t>
  </si>
  <si>
    <t>Dmitrii Makarov</t>
  </si>
  <si>
    <t>Ahmad AHMAD</t>
  </si>
  <si>
    <t>Doha Hassani</t>
  </si>
  <si>
    <t>Joe Berbari</t>
  </si>
  <si>
    <t>Rashed Abdulla Alhaddad</t>
  </si>
  <si>
    <t>Jamie Porter</t>
  </si>
  <si>
    <t>TATIANA MENASSA</t>
  </si>
  <si>
    <t>CRISTINA perez</t>
  </si>
  <si>
    <t>Riya Ahuja</t>
  </si>
  <si>
    <t>Majdood Popal</t>
  </si>
  <si>
    <t>Youssef Fakhfakh</t>
  </si>
  <si>
    <t>Ana Carolina Oliveira</t>
  </si>
  <si>
    <t>Ishaq Al Khan</t>
  </si>
  <si>
    <t>Omar Kharouf</t>
  </si>
  <si>
    <t>Eva Martinez Canales</t>
  </si>
  <si>
    <t>Daily Sales Input — How to Fill This Workbook</t>
  </si>
  <si>
    <t>Lifter Life Healthy Restaurant LLC  ·  send this file back the same way each time</t>
  </si>
  <si>
    <t>This copy only lists the branches under this company. Use the separate workbook for the other company -</t>
  </si>
  <si>
    <t>don't mix branches from both companies in the same file.</t>
  </si>
  <si>
    <t>Branches covered here:</t>
  </si>
  <si>
    <t xml:space="preserve">  - Hessa</t>
  </si>
  <si>
    <t xml:space="preserve">  - Etihad Mall</t>
  </si>
  <si>
    <t xml:space="preserve">  - Pizza Di Como Hessa</t>
  </si>
  <si>
    <t xml:space="preserve">  - Sushi Nakamoto Hessa</t>
  </si>
  <si>
    <t xml:space="preserve">  - Sushi Nakamoto Jumeirah</t>
  </si>
  <si>
    <t xml:space="preserve">  - MAMA'S Hessa</t>
  </si>
  <si>
    <t xml:space="preserve">  - Lifter Life Jumeirah</t>
  </si>
  <si>
    <t>TAB 1 — Platform Sales</t>
  </si>
  <si>
    <t>One row per branch per day. Columns:</t>
  </si>
  <si>
    <t>Branch | Date | Deliveroo | Talabat | Careem | Noon | Keeta | Smile | TDH | Meal Plan Revenue</t>
  </si>
  <si>
    <t>• Enter the GROSS amount shown on the sales report for each platform used that day.</t>
  </si>
  <si>
    <t xml:space="preserve">  Leave blank (not 0) if a platform wasn't used.</t>
  </si>
  <si>
    <t>• Meal Plan Revenue column: Lifter Life Jumeirah only. Enter the FULL total for the day —</t>
  </si>
  <si>
    <t xml:space="preserve">  the whole amount, including any part that belongs to a named person. See below for how</t>
  </si>
  <si>
    <t xml:space="preserve">  that total then gets broken down on Tab 2.</t>
  </si>
  <si>
    <t>• Skip rows entirely for days with zero sales — don't add a row of zeros.</t>
  </si>
  <si>
    <t>TAB 2 — Cash Visa Tips Credit</t>
  </si>
  <si>
    <t>Only needed for branches that take cash, card, or named-customer credit — currently</t>
  </si>
  <si>
    <t>Lifter Life Jumeirah for this company. Straight delivery-platform branches</t>
  </si>
  <si>
    <t>(Hessa, Etihad Mall, etc.) don't need this tab at all.</t>
  </si>
  <si>
    <t>Columns:</t>
  </si>
  <si>
    <t>Branch | Date | Cash | Visa | Credit Card Tips | Entry Type | Customer/Company Name |</t>
  </si>
  <si>
    <t>Amount | Cash and Visa Meal Plan | Payfort Meal Plan</t>
  </si>
  <si>
    <t>• Cash / Visa / Credit Card Tips (C–E): the day's totals actually collected in cash, on</t>
  </si>
  <si>
    <t xml:space="preserve">  card, and any tips added on top of card sales. One row per branch per day for these.</t>
  </si>
  <si>
    <t xml:space="preserve">  Restaurant POS Payfort is included in Visa (column D).</t>
  </si>
  <si>
    <t>• Entry Type / Customer Name / Amount (F–H): one row per named credit-sale EVENT.</t>
  </si>
  <si>
    <t xml:space="preserve">  Entry Type is 'New Credit Sale' (bought today, goes on their account) or</t>
  </si>
  <si>
    <t xml:space="preserve">  'Payment Received (Visa)' (paying off what they already owed).</t>
  </si>
  <si>
    <t xml:space="preserve">  ⚠ THE AMOUNT ALWAYS GOES IN COLUMN H FOR THESE — this is the single most common</t>
  </si>
  <si>
    <t xml:space="preserve">  mistake. Every named restaurant credit sale uses column H. Never columns I or J.</t>
  </si>
  <si>
    <t>• Cash and Visa Meal Plan / Payfort Meal Plan (I–J): Lifter Life Jumeirah ONLY. Always</t>
  </si>
  <si>
    <t xml:space="preserve">  pair a name in column G with the amount. Cash/visa meal plans also use Entry Type</t>
  </si>
  <si>
    <t xml:space="preserve">  'New Credit Sale'. Payfort meal plans leave Entry Type blank.</t>
  </si>
  <si>
    <t>How the Meal Plan Revenue total and its breakdown fit together</t>
  </si>
  <si>
    <t>This is the part that's caused mix-ups before, so read it carefully:</t>
  </si>
  <si>
    <t>1. ADDED UP on Tab 1: the Meal Plan Revenue column is the day's GRAND TOTAL for all meal</t>
  </si>
  <si>
    <t xml:space="preserve">   plan money — plain Payfort with no name attached, PLUS every named entry from Tab 2.</t>
  </si>
  <si>
    <t xml:space="preserve">   Everything gets summed into that one number.</t>
  </si>
  <si>
    <t>2. SPLIT BACK OUT on Tab 2: the 'Cash and Visa Meal Plan' and 'Payfort Meal Plan' columns</t>
  </si>
  <si>
    <t xml:space="preserve">   are that SAME total, broken down by name and by how it was paid. They are not extra</t>
  </si>
  <si>
    <t xml:space="preserve">   money on top of Tab 1 — they're the receipt showing what Tab 1's number is made of.</t>
  </si>
  <si>
    <t>Worked example: Tab 1 shows Meal Plan Revenue = 3640 for Jumeirah on 2-Sep. On Tab 2 that</t>
  </si>
  <si>
    <t>same day, Taha Alhindi = 3012 (Payfort Meal Plan) and Youseff Kibbe = 628 (Cash and Visa</t>
  </si>
  <si>
    <t>Meal Plan). 3012 + 628 = 3640 — matches Tab 1 exactly. If there's also a plain, unnamed</t>
  </si>
  <si>
    <t>portion with no one attached, it just isn't itemized on Tab 2 at all — it's still included</t>
  </si>
  <si>
    <t>in the Tab 1 total, just with no name behind it.</t>
  </si>
  <si>
    <t xml:space="preserve">  ⚠ The Tab 2 named entries should always add up to exactly the Tab 1 total. If they</t>
  </si>
  <si>
    <t xml:space="preserve">  don't, double check both tabs before sending — it means a number is off somewhere.</t>
  </si>
  <si>
    <t>Quick rule to remember</t>
  </si>
  <si>
    <t>If it's Lifter Life Jumeirah AND it's meal-plan money  →  columns I or J.</t>
  </si>
  <si>
    <t>If it's restaurant credit (account sale / payment received)      →  column H.</t>
  </si>
  <si>
    <t>Branch names</t>
  </si>
  <si>
    <t>Small typos and shorthand are usually fine — the branch gets matched automatically —</t>
  </si>
  <si>
    <t>but please use the closest match you can to the real branch name.</t>
  </si>
  <si>
    <t>Sakthia Selvarthnam</t>
  </si>
  <si>
    <t>Jallal Saint</t>
  </si>
  <si>
    <t>Youseff Kibbe</t>
  </si>
  <si>
    <t>Tarek Fawzy Aly</t>
  </si>
  <si>
    <t>Vladislava Tarasova</t>
  </si>
  <si>
    <t>MAMA'S Jumeirah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</si>
</sst>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EFEAF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4" fontId="0" fillId="3" borderId="0" xfId="0" applyNumberFormat="1" applyFill="1"/>
    <xf numFmtId="0" fontId="2" fillId="0" borderId="0" xfId="0" applyFont="1"/>
    <xf numFmtId="0" fontId="3" fillId="0" borderId="0" xfId="0" applyFont="1"/>
    <xf numFmtId="0" fontId="0" fillId="4" borderId="0" xfId="0" applyFill="1"/>
    <xf numFmtId="4" fontId="0" fillId="5" borderId="0" xfId="0" applyNumberFormat="1" applyFill="1"/>
    <xf numFmtId="0" fontId="0" fillId="5" borderId="0" xfId="0" applyFill="1"/>
    <xf numFmtId="0" fontId="4" fillId="5" borderId="0" xfId="0" applyFont="1" applyFill="1"/>
    <xf numFmtId="0" fontId="1" fillId="5" borderId="0" xfId="0" applyFont="1" applyFill="1" applyAlignment="1">
      <alignment horizontal="center" vertical="center"/>
    </xf>
    <xf numFmtId="14" fontId="0" fillId="0" borderId="0" xfId="0" applyNumberFormat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selection activeCell="A50" sqref="A50:A55"/>
    </sheetView>
  </sheetViews>
  <sheetFormatPr baseColWidth="10" defaultColWidth="8.83203125" defaultRowHeight="15" x14ac:dyDescent="0.2"/>
  <cols>
    <col min="1" max="1" width="28" customWidth="1"/>
    <col min="2" max="7" width="14" customWidth="1"/>
    <col min="8" max="9" width="12" customWidth="1"/>
    <col min="10" max="10" width="14" customWidth="1"/>
    <col min="12" max="12" width="10.1640625" bestFit="1" customWidth="1"/>
  </cols>
  <sheetData>
    <row r="1" spans="1:12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">
      <c r="A2" s="6" t="s">
        <v>10</v>
      </c>
      <c r="B2" t="s">
        <v>11</v>
      </c>
      <c r="C2" s="2">
        <v>660</v>
      </c>
      <c r="D2" s="2">
        <v>3034</v>
      </c>
      <c r="E2" s="2"/>
      <c r="F2" s="2">
        <v>205</v>
      </c>
      <c r="G2" s="2"/>
      <c r="H2" s="2"/>
      <c r="I2" s="2"/>
      <c r="J2" s="2"/>
    </row>
    <row r="3" spans="1:12" x14ac:dyDescent="0.2">
      <c r="A3" s="6" t="s">
        <v>10</v>
      </c>
      <c r="B3" t="s">
        <v>12</v>
      </c>
      <c r="C3" s="2">
        <v>396</v>
      </c>
      <c r="D3" s="2">
        <v>2162</v>
      </c>
      <c r="E3" s="2"/>
      <c r="F3" s="2">
        <v>86</v>
      </c>
      <c r="G3" s="2"/>
      <c r="H3" s="2"/>
      <c r="I3" s="2"/>
      <c r="J3" s="2"/>
    </row>
    <row r="4" spans="1:12" x14ac:dyDescent="0.2">
      <c r="A4" s="6" t="s">
        <v>10</v>
      </c>
      <c r="B4" t="s">
        <v>13</v>
      </c>
      <c r="C4" s="2">
        <v>374</v>
      </c>
      <c r="D4" s="2">
        <v>2008</v>
      </c>
      <c r="E4" s="2">
        <v>107</v>
      </c>
      <c r="F4" s="2">
        <v>109</v>
      </c>
      <c r="G4" s="2"/>
      <c r="H4" s="2"/>
      <c r="I4" s="2"/>
      <c r="J4" s="2"/>
    </row>
    <row r="5" spans="1:12" x14ac:dyDescent="0.2">
      <c r="A5" s="6" t="s">
        <v>10</v>
      </c>
      <c r="B5" t="s">
        <v>14</v>
      </c>
      <c r="C5" s="2">
        <v>837</v>
      </c>
      <c r="D5" s="2">
        <v>917</v>
      </c>
      <c r="E5" s="2"/>
      <c r="F5" s="2">
        <v>213</v>
      </c>
      <c r="G5" s="2"/>
      <c r="H5" s="2"/>
      <c r="I5" s="2"/>
      <c r="J5" s="2"/>
      <c r="L5" s="2"/>
    </row>
    <row r="6" spans="1:12" x14ac:dyDescent="0.2">
      <c r="A6" s="6" t="s">
        <v>10</v>
      </c>
      <c r="B6" t="s">
        <v>15</v>
      </c>
      <c r="C6" s="2">
        <v>403</v>
      </c>
      <c r="D6" s="2">
        <v>2039</v>
      </c>
      <c r="E6" s="2"/>
      <c r="F6" s="2">
        <v>94</v>
      </c>
      <c r="G6" s="2"/>
      <c r="H6" s="2"/>
      <c r="I6" s="2"/>
      <c r="J6" s="2"/>
      <c r="L6" s="2"/>
    </row>
    <row r="7" spans="1:12" x14ac:dyDescent="0.2">
      <c r="A7" s="6" t="s">
        <v>10</v>
      </c>
      <c r="B7" t="s">
        <v>16</v>
      </c>
      <c r="C7" s="2">
        <v>628</v>
      </c>
      <c r="D7" s="2">
        <v>1832</v>
      </c>
      <c r="E7" s="2"/>
      <c r="F7" s="2">
        <v>188</v>
      </c>
      <c r="G7" s="2">
        <v>102</v>
      </c>
      <c r="H7" s="2"/>
      <c r="I7" s="2"/>
      <c r="J7" s="2"/>
      <c r="L7" s="2"/>
    </row>
    <row r="8" spans="1:12" x14ac:dyDescent="0.2">
      <c r="A8" s="6" t="s">
        <v>10</v>
      </c>
      <c r="B8" t="s">
        <v>17</v>
      </c>
      <c r="C8" s="2">
        <v>1003</v>
      </c>
      <c r="D8" s="2">
        <v>1987</v>
      </c>
      <c r="E8" s="2">
        <v>77</v>
      </c>
      <c r="F8" s="2">
        <v>53</v>
      </c>
      <c r="G8" s="2"/>
      <c r="H8" s="2"/>
      <c r="I8" s="2"/>
      <c r="J8" s="2"/>
    </row>
    <row r="9" spans="1:12" x14ac:dyDescent="0.2">
      <c r="A9" s="6" t="s">
        <v>10</v>
      </c>
      <c r="B9" t="s">
        <v>18</v>
      </c>
      <c r="C9" s="2">
        <v>964</v>
      </c>
      <c r="D9" s="2">
        <v>2363</v>
      </c>
      <c r="E9" s="2">
        <v>118</v>
      </c>
      <c r="F9" s="2">
        <v>100</v>
      </c>
      <c r="G9" s="2"/>
      <c r="H9" s="2"/>
      <c r="I9" s="2"/>
      <c r="J9" s="2"/>
    </row>
    <row r="10" spans="1:12" x14ac:dyDescent="0.2">
      <c r="A10" s="6" t="s">
        <v>10</v>
      </c>
      <c r="B10" t="s">
        <v>19</v>
      </c>
      <c r="C10" s="2">
        <v>409</v>
      </c>
      <c r="D10" s="2">
        <v>2070</v>
      </c>
      <c r="E10" s="2"/>
      <c r="F10" s="2">
        <v>79</v>
      </c>
      <c r="G10" s="2"/>
      <c r="H10" s="2"/>
      <c r="I10" s="2"/>
      <c r="J10" s="2"/>
    </row>
    <row r="11" spans="1:12" x14ac:dyDescent="0.2">
      <c r="A11" s="6" t="s">
        <v>10</v>
      </c>
      <c r="B11" t="s">
        <v>20</v>
      </c>
      <c r="C11" s="2">
        <v>1081</v>
      </c>
      <c r="D11" s="2">
        <v>2561</v>
      </c>
      <c r="E11" s="2">
        <v>332</v>
      </c>
      <c r="F11" s="2">
        <v>169</v>
      </c>
      <c r="G11" s="2"/>
      <c r="H11" s="2"/>
      <c r="I11" s="2"/>
      <c r="J11" s="2"/>
    </row>
    <row r="12" spans="1:12" x14ac:dyDescent="0.2">
      <c r="A12" s="6" t="s">
        <v>10</v>
      </c>
      <c r="B12" t="s">
        <v>21</v>
      </c>
      <c r="C12" s="2">
        <v>457</v>
      </c>
      <c r="D12" s="2">
        <v>1775</v>
      </c>
      <c r="E12" s="2">
        <v>359</v>
      </c>
      <c r="F12" s="2">
        <v>219</v>
      </c>
      <c r="G12" s="2"/>
      <c r="H12" s="2"/>
      <c r="I12" s="2"/>
      <c r="J12" s="2"/>
    </row>
    <row r="13" spans="1:12" x14ac:dyDescent="0.2">
      <c r="A13" s="6" t="s">
        <v>10</v>
      </c>
      <c r="B13" t="s">
        <v>22</v>
      </c>
      <c r="C13" s="2">
        <v>341</v>
      </c>
      <c r="D13" s="2">
        <v>2222</v>
      </c>
      <c r="E13" s="2"/>
      <c r="F13" s="2"/>
      <c r="G13" s="2"/>
      <c r="H13" s="2"/>
      <c r="I13" s="2"/>
      <c r="J13" s="2"/>
    </row>
    <row r="14" spans="1:12" x14ac:dyDescent="0.2">
      <c r="A14" s="6" t="s">
        <v>10</v>
      </c>
      <c r="B14" t="s">
        <v>23</v>
      </c>
      <c r="C14" s="2">
        <v>448</v>
      </c>
      <c r="D14" s="2">
        <v>2262</v>
      </c>
      <c r="E14" s="2"/>
      <c r="F14" s="2">
        <v>56</v>
      </c>
      <c r="G14" s="2"/>
      <c r="H14" s="2"/>
      <c r="I14" s="2"/>
      <c r="J14" s="2"/>
    </row>
    <row r="15" spans="1:12" x14ac:dyDescent="0.2">
      <c r="A15" s="6" t="s">
        <v>10</v>
      </c>
      <c r="B15" t="s">
        <v>24</v>
      </c>
      <c r="C15" s="2">
        <v>606</v>
      </c>
      <c r="D15" s="2">
        <v>2768</v>
      </c>
      <c r="E15" s="2"/>
      <c r="F15" s="2">
        <v>173</v>
      </c>
      <c r="G15" s="2"/>
      <c r="H15" s="2"/>
      <c r="I15" s="2"/>
      <c r="J15" s="2"/>
    </row>
    <row r="16" spans="1:12" x14ac:dyDescent="0.2">
      <c r="A16" s="6" t="s">
        <v>10</v>
      </c>
      <c r="B16" t="s">
        <v>25</v>
      </c>
      <c r="C16" s="2">
        <v>739</v>
      </c>
      <c r="D16" s="2">
        <v>2837</v>
      </c>
      <c r="E16" s="2">
        <v>315</v>
      </c>
      <c r="F16" s="2">
        <v>151</v>
      </c>
      <c r="G16" s="2"/>
      <c r="H16" s="2"/>
      <c r="I16" s="2"/>
      <c r="J16" s="2"/>
    </row>
    <row r="17" spans="1:10" x14ac:dyDescent="0.2">
      <c r="A17" s="6" t="s">
        <v>10</v>
      </c>
      <c r="B17" s="11">
        <v>46281</v>
      </c>
      <c r="C17" s="2">
        <v>555</v>
      </c>
      <c r="D17" s="2">
        <v>2620</v>
      </c>
      <c r="E17" s="2">
        <v>56</v>
      </c>
      <c r="F17" s="2">
        <v>200</v>
      </c>
      <c r="G17" s="2">
        <v>159</v>
      </c>
      <c r="H17" s="2"/>
      <c r="I17" s="2"/>
      <c r="J17" s="2"/>
    </row>
    <row r="18" spans="1:10" x14ac:dyDescent="0.2">
      <c r="A18" s="6" t="s">
        <v>26</v>
      </c>
      <c r="B18" t="s">
        <v>11</v>
      </c>
      <c r="C18" s="2">
        <v>5441</v>
      </c>
      <c r="D18" s="2">
        <v>4647</v>
      </c>
      <c r="E18" s="2">
        <v>2786</v>
      </c>
      <c r="F18" s="2">
        <v>287</v>
      </c>
      <c r="G18" s="2">
        <v>57</v>
      </c>
      <c r="H18" s="2"/>
      <c r="I18" s="2"/>
      <c r="J18" s="2"/>
    </row>
    <row r="19" spans="1:10" x14ac:dyDescent="0.2">
      <c r="A19" s="6" t="s">
        <v>26</v>
      </c>
      <c r="B19" t="s">
        <v>12</v>
      </c>
      <c r="C19" s="2">
        <v>6096</v>
      </c>
      <c r="D19" s="2">
        <v>4477</v>
      </c>
      <c r="E19" s="2">
        <v>3156</v>
      </c>
      <c r="F19" s="2">
        <v>545</v>
      </c>
      <c r="G19" s="2">
        <v>2</v>
      </c>
      <c r="H19" s="2"/>
      <c r="I19" s="2"/>
      <c r="J19" s="2"/>
    </row>
    <row r="20" spans="1:10" x14ac:dyDescent="0.2">
      <c r="A20" s="6" t="s">
        <v>26</v>
      </c>
      <c r="B20" t="s">
        <v>13</v>
      </c>
      <c r="C20" s="2">
        <v>5842</v>
      </c>
      <c r="D20" s="2">
        <v>3703</v>
      </c>
      <c r="E20" s="2">
        <v>2901</v>
      </c>
      <c r="F20" s="2">
        <v>189</v>
      </c>
      <c r="G20" s="2">
        <v>129</v>
      </c>
      <c r="H20" s="2"/>
      <c r="I20" s="2"/>
      <c r="J20" s="2"/>
    </row>
    <row r="21" spans="1:10" x14ac:dyDescent="0.2">
      <c r="A21" s="6" t="s">
        <v>26</v>
      </c>
      <c r="B21" t="s">
        <v>14</v>
      </c>
      <c r="C21" s="2">
        <v>5414</v>
      </c>
      <c r="D21" s="2">
        <v>2696</v>
      </c>
      <c r="E21" s="2">
        <v>2574</v>
      </c>
      <c r="F21" s="2">
        <v>235</v>
      </c>
      <c r="G21" s="2">
        <v>53</v>
      </c>
      <c r="H21" s="2"/>
      <c r="I21" s="2"/>
      <c r="J21" s="2"/>
    </row>
    <row r="22" spans="1:10" x14ac:dyDescent="0.2">
      <c r="A22" s="6" t="s">
        <v>26</v>
      </c>
      <c r="B22" t="s">
        <v>15</v>
      </c>
      <c r="C22" s="2">
        <v>3247</v>
      </c>
      <c r="D22" s="2">
        <v>2400</v>
      </c>
      <c r="E22" s="2">
        <v>2336</v>
      </c>
      <c r="F22" s="2">
        <v>583</v>
      </c>
      <c r="G22" s="2">
        <v>137</v>
      </c>
      <c r="H22" s="2"/>
      <c r="I22" s="2"/>
      <c r="J22" s="2"/>
    </row>
    <row r="23" spans="1:10" x14ac:dyDescent="0.2">
      <c r="A23" s="6" t="s">
        <v>26</v>
      </c>
      <c r="B23" t="s">
        <v>16</v>
      </c>
      <c r="C23" s="2">
        <v>4880</v>
      </c>
      <c r="D23" s="2">
        <v>4265</v>
      </c>
      <c r="E23" s="2">
        <v>2582</v>
      </c>
      <c r="F23" s="2">
        <v>588</v>
      </c>
      <c r="G23" s="2">
        <v>92</v>
      </c>
      <c r="H23" s="2"/>
      <c r="I23" s="2"/>
      <c r="J23" s="2"/>
    </row>
    <row r="24" spans="1:10" x14ac:dyDescent="0.2">
      <c r="A24" s="6" t="s">
        <v>26</v>
      </c>
      <c r="B24" t="s">
        <v>17</v>
      </c>
      <c r="C24" s="2">
        <v>6086</v>
      </c>
      <c r="D24" s="2">
        <v>4209</v>
      </c>
      <c r="E24" s="2">
        <v>2962</v>
      </c>
      <c r="F24" s="2">
        <v>399</v>
      </c>
      <c r="G24" s="2">
        <v>67</v>
      </c>
      <c r="H24" s="2"/>
      <c r="I24" s="2"/>
      <c r="J24" s="2"/>
    </row>
    <row r="25" spans="1:10" x14ac:dyDescent="0.2">
      <c r="A25" s="6" t="s">
        <v>26</v>
      </c>
      <c r="B25" t="s">
        <v>18</v>
      </c>
      <c r="C25" s="2">
        <v>6983</v>
      </c>
      <c r="D25" s="2">
        <v>5842</v>
      </c>
      <c r="E25" s="2">
        <v>3619</v>
      </c>
      <c r="F25" s="2">
        <v>664</v>
      </c>
      <c r="G25" s="2">
        <v>68</v>
      </c>
      <c r="H25" s="2"/>
      <c r="I25" s="2"/>
      <c r="J25" s="2"/>
    </row>
    <row r="26" spans="1:10" x14ac:dyDescent="0.2">
      <c r="A26" s="6" t="s">
        <v>26</v>
      </c>
      <c r="B26" t="s">
        <v>19</v>
      </c>
      <c r="C26" s="2">
        <v>4821</v>
      </c>
      <c r="D26" s="2">
        <v>3997</v>
      </c>
      <c r="E26" s="2">
        <v>3368</v>
      </c>
      <c r="F26" s="2">
        <v>249</v>
      </c>
      <c r="G26" s="2">
        <v>67</v>
      </c>
      <c r="H26" s="2"/>
      <c r="I26" s="2"/>
      <c r="J26" s="2"/>
    </row>
    <row r="27" spans="1:10" x14ac:dyDescent="0.2">
      <c r="A27" s="6" t="s">
        <v>26</v>
      </c>
      <c r="B27" t="s">
        <v>20</v>
      </c>
      <c r="C27" s="2">
        <v>5511</v>
      </c>
      <c r="D27" s="2">
        <v>3735</v>
      </c>
      <c r="E27" s="2">
        <v>4138</v>
      </c>
      <c r="F27" s="2">
        <v>251</v>
      </c>
      <c r="G27" s="2">
        <v>67</v>
      </c>
      <c r="H27" s="2"/>
      <c r="I27" s="2"/>
      <c r="J27" s="2"/>
    </row>
    <row r="28" spans="1:10" x14ac:dyDescent="0.2">
      <c r="A28" s="6" t="s">
        <v>26</v>
      </c>
      <c r="B28" t="s">
        <v>21</v>
      </c>
      <c r="C28" s="2">
        <v>4642</v>
      </c>
      <c r="D28" s="2">
        <v>3527</v>
      </c>
      <c r="E28" s="2">
        <v>3227</v>
      </c>
      <c r="F28" s="2">
        <v>345</v>
      </c>
      <c r="G28" s="2">
        <v>108</v>
      </c>
      <c r="H28" s="2"/>
      <c r="I28" s="2"/>
      <c r="J28" s="2"/>
    </row>
    <row r="29" spans="1:10" x14ac:dyDescent="0.2">
      <c r="A29" s="6" t="s">
        <v>26</v>
      </c>
      <c r="B29" t="s">
        <v>22</v>
      </c>
      <c r="C29" s="2">
        <v>5200</v>
      </c>
      <c r="D29" s="2">
        <v>3827</v>
      </c>
      <c r="E29" s="2">
        <v>2376</v>
      </c>
      <c r="F29" s="2">
        <v>234</v>
      </c>
      <c r="G29" s="2"/>
      <c r="H29" s="2"/>
      <c r="I29" s="2"/>
      <c r="J29" s="2"/>
    </row>
    <row r="30" spans="1:10" x14ac:dyDescent="0.2">
      <c r="A30" s="6" t="s">
        <v>26</v>
      </c>
      <c r="B30" t="s">
        <v>23</v>
      </c>
      <c r="C30" s="2">
        <v>5225</v>
      </c>
      <c r="D30" s="2">
        <v>3522</v>
      </c>
      <c r="E30" s="2">
        <v>2708</v>
      </c>
      <c r="F30" s="2">
        <v>448</v>
      </c>
      <c r="G30" s="2"/>
      <c r="H30" s="2"/>
      <c r="I30" s="2"/>
      <c r="J30" s="2"/>
    </row>
    <row r="31" spans="1:10" x14ac:dyDescent="0.2">
      <c r="A31" s="6" t="s">
        <v>26</v>
      </c>
      <c r="B31" t="s">
        <v>24</v>
      </c>
      <c r="C31" s="2">
        <v>6556</v>
      </c>
      <c r="D31" s="2">
        <v>4688</v>
      </c>
      <c r="E31" s="2">
        <v>3408</v>
      </c>
      <c r="F31" s="2"/>
      <c r="G31" s="2"/>
      <c r="H31" s="2"/>
      <c r="I31" s="2"/>
      <c r="J31" s="2"/>
    </row>
    <row r="32" spans="1:10" x14ac:dyDescent="0.2">
      <c r="A32" s="6" t="s">
        <v>26</v>
      </c>
      <c r="B32" t="s">
        <v>25</v>
      </c>
      <c r="C32" s="2">
        <v>6228</v>
      </c>
      <c r="D32" s="2">
        <v>4048</v>
      </c>
      <c r="E32" s="2">
        <v>4039</v>
      </c>
      <c r="F32" s="2">
        <v>741</v>
      </c>
      <c r="G32" s="2">
        <v>111</v>
      </c>
      <c r="H32" s="2"/>
      <c r="I32" s="2"/>
      <c r="J32" s="2"/>
    </row>
    <row r="33" spans="1:10" x14ac:dyDescent="0.2">
      <c r="A33" s="6" t="s">
        <v>26</v>
      </c>
      <c r="B33" s="11">
        <v>46281</v>
      </c>
      <c r="C33" s="2">
        <v>6421</v>
      </c>
      <c r="D33" s="2">
        <v>4729</v>
      </c>
      <c r="E33" s="2">
        <v>3194</v>
      </c>
      <c r="F33" s="2">
        <v>349</v>
      </c>
      <c r="G33" s="2"/>
      <c r="H33" s="2"/>
      <c r="I33" s="2"/>
      <c r="J33" s="2"/>
    </row>
    <row r="34" spans="1:10" x14ac:dyDescent="0.2">
      <c r="A34" s="6" t="s">
        <v>27</v>
      </c>
      <c r="B34" t="s">
        <v>11</v>
      </c>
      <c r="C34" s="2">
        <v>4861</v>
      </c>
      <c r="D34" s="2">
        <v>4395</v>
      </c>
      <c r="E34" s="2">
        <v>1656</v>
      </c>
      <c r="F34" s="2">
        <v>575</v>
      </c>
      <c r="G34" s="2">
        <v>131</v>
      </c>
      <c r="H34" s="2"/>
      <c r="I34" s="2"/>
      <c r="J34" s="2">
        <v>6867.1</v>
      </c>
    </row>
    <row r="35" spans="1:10" x14ac:dyDescent="0.2">
      <c r="A35" s="6" t="s">
        <v>27</v>
      </c>
      <c r="B35" t="s">
        <v>12</v>
      </c>
      <c r="C35" s="2">
        <v>3664</v>
      </c>
      <c r="D35" s="2">
        <v>3605</v>
      </c>
      <c r="E35" s="2">
        <v>2081</v>
      </c>
      <c r="F35" s="2">
        <v>703</v>
      </c>
      <c r="G35" s="2">
        <v>57</v>
      </c>
      <c r="H35" s="2"/>
      <c r="I35" s="2"/>
      <c r="J35" s="2">
        <v>3012</v>
      </c>
    </row>
    <row r="36" spans="1:10" x14ac:dyDescent="0.2">
      <c r="A36" s="6" t="s">
        <v>27</v>
      </c>
      <c r="B36" t="s">
        <v>13</v>
      </c>
      <c r="C36" s="2">
        <v>4246</v>
      </c>
      <c r="D36" s="2">
        <v>3829</v>
      </c>
      <c r="E36" s="2">
        <v>1873</v>
      </c>
      <c r="F36" s="2">
        <v>437</v>
      </c>
      <c r="G36" s="2"/>
      <c r="H36" s="2"/>
      <c r="I36" s="2"/>
      <c r="J36" s="2">
        <v>1600</v>
      </c>
    </row>
    <row r="37" spans="1:10" x14ac:dyDescent="0.2">
      <c r="A37" s="6" t="s">
        <v>27</v>
      </c>
      <c r="B37" t="s">
        <v>14</v>
      </c>
      <c r="C37" s="2">
        <v>3208</v>
      </c>
      <c r="D37" s="2">
        <v>3704</v>
      </c>
      <c r="E37" s="2">
        <v>1876</v>
      </c>
      <c r="F37" s="2">
        <v>369</v>
      </c>
      <c r="G37" s="2"/>
      <c r="H37" s="2"/>
      <c r="I37" s="2"/>
      <c r="J37">
        <f>4090.1+280+276</f>
        <v>4646.1000000000004</v>
      </c>
    </row>
    <row r="38" spans="1:10" x14ac:dyDescent="0.2">
      <c r="A38" s="6" t="s">
        <v>27</v>
      </c>
      <c r="B38" t="s">
        <v>15</v>
      </c>
      <c r="C38" s="2">
        <v>2865</v>
      </c>
      <c r="D38" s="2">
        <v>3357</v>
      </c>
      <c r="E38" s="2">
        <v>1831</v>
      </c>
      <c r="F38" s="2">
        <v>365</v>
      </c>
      <c r="G38" s="2"/>
      <c r="H38" s="2"/>
      <c r="I38" s="2"/>
      <c r="J38" s="2">
        <v>5259</v>
      </c>
    </row>
    <row r="39" spans="1:10" x14ac:dyDescent="0.2">
      <c r="A39" s="6" t="s">
        <v>27</v>
      </c>
      <c r="B39" t="s">
        <v>16</v>
      </c>
      <c r="C39" s="2">
        <v>3439</v>
      </c>
      <c r="D39" s="2">
        <v>3610</v>
      </c>
      <c r="E39" s="2">
        <v>1375</v>
      </c>
      <c r="F39" s="2">
        <v>600</v>
      </c>
      <c r="G39" s="2">
        <v>51</v>
      </c>
      <c r="H39" s="2"/>
      <c r="I39" s="2"/>
      <c r="J39" s="2"/>
    </row>
    <row r="40" spans="1:10" x14ac:dyDescent="0.2">
      <c r="A40" s="6" t="s">
        <v>27</v>
      </c>
      <c r="B40" t="s">
        <v>17</v>
      </c>
      <c r="C40" s="2">
        <v>3676</v>
      </c>
      <c r="D40" s="2">
        <v>4359</v>
      </c>
      <c r="E40" s="2">
        <v>2046</v>
      </c>
      <c r="F40" s="2">
        <v>1005</v>
      </c>
      <c r="G40" s="2">
        <v>205</v>
      </c>
      <c r="H40" s="2">
        <v>64</v>
      </c>
      <c r="I40" s="2"/>
      <c r="J40" s="2">
        <v>2510</v>
      </c>
    </row>
    <row r="41" spans="1:10" x14ac:dyDescent="0.2">
      <c r="A41" s="6" t="s">
        <v>27</v>
      </c>
      <c r="B41" t="s">
        <v>18</v>
      </c>
      <c r="C41" s="2">
        <v>3471</v>
      </c>
      <c r="D41" s="2">
        <v>5128</v>
      </c>
      <c r="E41" s="2">
        <v>1557</v>
      </c>
      <c r="F41" s="2">
        <v>763</v>
      </c>
      <c r="G41" s="2">
        <v>43</v>
      </c>
      <c r="H41" s="2">
        <v>135</v>
      </c>
      <c r="I41" s="2"/>
      <c r="J41" s="2">
        <v>1500</v>
      </c>
    </row>
    <row r="42" spans="1:10" x14ac:dyDescent="0.2">
      <c r="A42" s="6" t="s">
        <v>27</v>
      </c>
      <c r="B42" t="s">
        <v>19</v>
      </c>
      <c r="C42" s="2">
        <v>4730</v>
      </c>
      <c r="D42" s="2">
        <v>4330</v>
      </c>
      <c r="E42" s="2">
        <v>2955</v>
      </c>
      <c r="F42" s="2">
        <v>429</v>
      </c>
      <c r="G42" s="2">
        <v>88</v>
      </c>
      <c r="H42" s="2"/>
      <c r="I42" s="2"/>
      <c r="J42" s="2">
        <f>2983-150</f>
        <v>2833</v>
      </c>
    </row>
    <row r="43" spans="1:10" x14ac:dyDescent="0.2">
      <c r="A43" s="6" t="s">
        <v>27</v>
      </c>
      <c r="B43" t="s">
        <v>20</v>
      </c>
      <c r="C43" s="2">
        <v>4089</v>
      </c>
      <c r="D43" s="2">
        <v>3399</v>
      </c>
      <c r="E43" s="2">
        <v>2088</v>
      </c>
      <c r="F43" s="2">
        <v>596</v>
      </c>
      <c r="G43" s="2"/>
      <c r="H43" s="2">
        <v>62</v>
      </c>
      <c r="I43" s="2"/>
      <c r="J43" s="2"/>
    </row>
    <row r="44" spans="1:10" x14ac:dyDescent="0.2">
      <c r="A44" s="6" t="s">
        <v>27</v>
      </c>
      <c r="B44" t="s">
        <v>21</v>
      </c>
      <c r="C44" s="2">
        <v>4062</v>
      </c>
      <c r="D44" s="2">
        <v>3521</v>
      </c>
      <c r="E44" s="2">
        <v>1493</v>
      </c>
      <c r="F44" s="2">
        <v>750</v>
      </c>
      <c r="G44" s="2"/>
      <c r="H44" s="2"/>
      <c r="I44" s="2"/>
      <c r="J44" s="2">
        <f>427+560</f>
        <v>987</v>
      </c>
    </row>
    <row r="45" spans="1:10" x14ac:dyDescent="0.2">
      <c r="A45" s="6" t="s">
        <v>27</v>
      </c>
      <c r="B45" t="s">
        <v>22</v>
      </c>
      <c r="C45" s="2">
        <v>3711</v>
      </c>
      <c r="D45" s="2">
        <v>3026</v>
      </c>
      <c r="E45" s="2">
        <v>1949</v>
      </c>
      <c r="F45" s="2">
        <v>639</v>
      </c>
      <c r="G45" s="2"/>
      <c r="H45" s="2">
        <v>58</v>
      </c>
      <c r="I45" s="2"/>
      <c r="J45" s="2">
        <v>5587</v>
      </c>
    </row>
    <row r="46" spans="1:10" x14ac:dyDescent="0.2">
      <c r="A46" s="6" t="s">
        <v>27</v>
      </c>
      <c r="B46" t="s">
        <v>23</v>
      </c>
      <c r="C46" s="2">
        <v>3359</v>
      </c>
      <c r="D46" s="2">
        <v>4576</v>
      </c>
      <c r="E46" s="2">
        <v>1483</v>
      </c>
      <c r="F46" s="2">
        <v>559</v>
      </c>
      <c r="G46" s="2">
        <v>107</v>
      </c>
      <c r="H46" s="2"/>
      <c r="I46" s="2"/>
      <c r="J46" s="2">
        <v>1825</v>
      </c>
    </row>
    <row r="47" spans="1:10" x14ac:dyDescent="0.2">
      <c r="A47" s="6" t="s">
        <v>27</v>
      </c>
      <c r="B47" t="s">
        <v>24</v>
      </c>
      <c r="C47" s="2">
        <v>4874</v>
      </c>
      <c r="D47" s="2">
        <v>3458</v>
      </c>
      <c r="E47" s="2">
        <v>2371</v>
      </c>
      <c r="F47" s="2">
        <v>331</v>
      </c>
      <c r="G47" s="2"/>
      <c r="H47" s="2"/>
      <c r="I47" s="2"/>
      <c r="J47" s="2">
        <v>4319</v>
      </c>
    </row>
    <row r="48" spans="1:10" x14ac:dyDescent="0.2">
      <c r="A48" s="6" t="s">
        <v>27</v>
      </c>
      <c r="B48" t="s">
        <v>25</v>
      </c>
      <c r="C48" s="2">
        <v>5595</v>
      </c>
      <c r="D48" s="2">
        <v>4606</v>
      </c>
      <c r="E48" s="2">
        <v>2323</v>
      </c>
      <c r="F48" s="2">
        <v>960</v>
      </c>
      <c r="G48" s="2">
        <v>52</v>
      </c>
      <c r="H48" s="2"/>
      <c r="I48" s="2"/>
      <c r="J48" s="2">
        <v>2033</v>
      </c>
    </row>
    <row r="49" spans="1:10" x14ac:dyDescent="0.2">
      <c r="A49" s="6" t="s">
        <v>27</v>
      </c>
      <c r="B49" s="11">
        <v>46281</v>
      </c>
      <c r="C49" s="2">
        <v>3931</v>
      </c>
      <c r="D49" s="2">
        <v>4301</v>
      </c>
      <c r="E49" s="2">
        <v>2342</v>
      </c>
      <c r="F49" s="2">
        <v>25</v>
      </c>
      <c r="G49" s="2">
        <v>576</v>
      </c>
      <c r="H49" s="2"/>
      <c r="I49" s="2"/>
      <c r="J49" s="2"/>
    </row>
    <row r="50" spans="1:10" x14ac:dyDescent="0.2">
      <c r="A50" s="6" t="s">
        <v>28</v>
      </c>
      <c r="B50" t="s">
        <v>16</v>
      </c>
      <c r="C50" s="2">
        <v>98</v>
      </c>
      <c r="D50" s="2"/>
      <c r="E50" s="2"/>
      <c r="F50" s="2"/>
      <c r="G50" s="2"/>
      <c r="H50" s="2"/>
      <c r="I50" s="2"/>
      <c r="J50" s="2"/>
    </row>
    <row r="51" spans="1:10" x14ac:dyDescent="0.2">
      <c r="A51" s="6" t="s">
        <v>28</v>
      </c>
      <c r="B51" t="s">
        <v>21</v>
      </c>
      <c r="C51" s="2">
        <v>109</v>
      </c>
      <c r="D51" s="2">
        <v>86</v>
      </c>
      <c r="E51" s="2"/>
      <c r="F51" s="2"/>
      <c r="G51" s="2"/>
      <c r="H51" s="2"/>
      <c r="I51" s="2"/>
      <c r="J51" s="2"/>
    </row>
    <row r="52" spans="1:10" x14ac:dyDescent="0.2">
      <c r="A52" s="6" t="s">
        <v>146</v>
      </c>
      <c r="B52" t="s">
        <v>13</v>
      </c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6" t="s">
        <v>146</v>
      </c>
      <c r="B53" t="s">
        <v>14</v>
      </c>
      <c r="C53" s="2"/>
      <c r="D53" s="2">
        <v>39</v>
      </c>
      <c r="E53" s="2"/>
      <c r="F53" s="2"/>
      <c r="G53" s="2"/>
      <c r="H53" s="2"/>
      <c r="I53" s="2"/>
      <c r="J53" s="2"/>
    </row>
    <row r="54" spans="1:10" x14ac:dyDescent="0.2">
      <c r="A54" s="6" t="s">
        <v>146</v>
      </c>
      <c r="B54" t="s">
        <v>18</v>
      </c>
      <c r="C54" s="2">
        <v>71</v>
      </c>
      <c r="D54" s="2"/>
      <c r="E54" s="2"/>
      <c r="F54" s="2"/>
      <c r="G54" s="2"/>
      <c r="H54" s="2"/>
      <c r="I54" s="2"/>
      <c r="J54" s="2"/>
    </row>
    <row r="55" spans="1:10" x14ac:dyDescent="0.2">
      <c r="A55" s="6" t="s">
        <v>146</v>
      </c>
      <c r="B55" t="s">
        <v>21</v>
      </c>
      <c r="C55" s="2"/>
      <c r="D55" s="2">
        <v>82</v>
      </c>
      <c r="E55" s="2"/>
      <c r="F55" s="2"/>
      <c r="G55" s="2"/>
      <c r="H55" s="2"/>
      <c r="I55" s="2"/>
      <c r="J55" s="2"/>
    </row>
    <row r="56" spans="1:10" x14ac:dyDescent="0.2">
      <c r="A56" s="6" t="s">
        <v>29</v>
      </c>
      <c r="B56" t="s">
        <v>13</v>
      </c>
      <c r="C56" s="2"/>
      <c r="D56" s="2">
        <v>46</v>
      </c>
      <c r="E56" s="2"/>
      <c r="F56" s="2"/>
      <c r="G56" s="2"/>
      <c r="H56" s="2"/>
      <c r="I56" s="2"/>
      <c r="J56" s="2"/>
    </row>
    <row r="57" spans="1:10" x14ac:dyDescent="0.2">
      <c r="A57" s="6" t="s">
        <v>29</v>
      </c>
      <c r="B57" t="s">
        <v>17</v>
      </c>
      <c r="C57" s="2"/>
      <c r="D57" s="2"/>
      <c r="E57" s="2">
        <v>64</v>
      </c>
      <c r="F57" s="2"/>
      <c r="G57" s="2">
        <v>100</v>
      </c>
      <c r="H57" s="2"/>
      <c r="I57" s="2"/>
      <c r="J57" s="2"/>
    </row>
    <row r="58" spans="1:10" x14ac:dyDescent="0.2">
      <c r="A58" s="6" t="s">
        <v>29</v>
      </c>
      <c r="B58" t="s">
        <v>18</v>
      </c>
      <c r="C58" s="2">
        <v>56</v>
      </c>
      <c r="D58" s="2"/>
      <c r="E58" s="2"/>
      <c r="F58" s="2"/>
      <c r="G58" s="2"/>
      <c r="H58" s="2"/>
      <c r="I58" s="2"/>
      <c r="J58" s="2"/>
    </row>
    <row r="59" spans="1:10" x14ac:dyDescent="0.2">
      <c r="A59" s="6" t="s">
        <v>29</v>
      </c>
      <c r="B59" t="s">
        <v>20</v>
      </c>
      <c r="C59" s="2"/>
      <c r="D59" s="2"/>
      <c r="E59" s="2"/>
      <c r="F59" s="2"/>
      <c r="G59" s="2">
        <v>29</v>
      </c>
      <c r="H59" s="2"/>
      <c r="I59" s="2"/>
      <c r="J59" s="2"/>
    </row>
    <row r="60" spans="1:10" x14ac:dyDescent="0.2">
      <c r="A60" s="6" t="s">
        <v>29</v>
      </c>
      <c r="B60" t="s">
        <v>22</v>
      </c>
      <c r="C60" s="2">
        <v>125</v>
      </c>
      <c r="D60" s="2">
        <v>95</v>
      </c>
      <c r="E60" s="2">
        <v>46</v>
      </c>
      <c r="F60" s="2"/>
      <c r="G60" s="2"/>
      <c r="H60" s="2"/>
      <c r="I60" s="2"/>
      <c r="J60" s="2"/>
    </row>
    <row r="61" spans="1:10" x14ac:dyDescent="0.2">
      <c r="A61" s="6" t="s">
        <v>29</v>
      </c>
      <c r="B61" t="s">
        <v>23</v>
      </c>
      <c r="C61" s="2"/>
      <c r="D61" s="2"/>
      <c r="E61" s="2">
        <v>61</v>
      </c>
      <c r="F61" s="2"/>
      <c r="H61" s="2"/>
      <c r="I61" s="2"/>
      <c r="J61" s="2"/>
    </row>
    <row r="62" spans="1:10" x14ac:dyDescent="0.2">
      <c r="A62" s="6" t="s">
        <v>29</v>
      </c>
      <c r="B62" t="s">
        <v>25</v>
      </c>
      <c r="C62" s="2"/>
      <c r="D62" s="2"/>
      <c r="E62" s="2"/>
      <c r="F62" s="2"/>
      <c r="G62" s="2">
        <v>49</v>
      </c>
      <c r="H62" s="2"/>
      <c r="I62" s="2"/>
      <c r="J62" s="2"/>
    </row>
    <row r="63" spans="1:10" x14ac:dyDescent="0.2">
      <c r="A63" s="6" t="s">
        <v>30</v>
      </c>
      <c r="B63" t="s">
        <v>12</v>
      </c>
      <c r="C63" s="2"/>
      <c r="D63" s="2">
        <v>108</v>
      </c>
      <c r="E63" s="2"/>
      <c r="F63" s="2"/>
      <c r="G63" s="2"/>
      <c r="H63" s="2"/>
      <c r="I63" s="2"/>
      <c r="J63" s="2"/>
    </row>
    <row r="64" spans="1:10" x14ac:dyDescent="0.2">
      <c r="A64" s="6" t="s">
        <v>30</v>
      </c>
      <c r="B64" t="s">
        <v>13</v>
      </c>
      <c r="C64" s="2">
        <v>72</v>
      </c>
      <c r="D64" s="2"/>
      <c r="E64" s="2"/>
      <c r="F64" s="2"/>
      <c r="G64" s="2"/>
      <c r="H64" s="2"/>
      <c r="I64" s="2"/>
      <c r="J64" s="2"/>
    </row>
    <row r="65" spans="1:10" x14ac:dyDescent="0.2">
      <c r="A65" s="6" t="s">
        <v>30</v>
      </c>
      <c r="B65" t="s">
        <v>15</v>
      </c>
      <c r="C65" s="2"/>
      <c r="D65" s="2">
        <v>118</v>
      </c>
      <c r="E65" s="2"/>
      <c r="F65" s="2"/>
      <c r="G65" s="2"/>
      <c r="H65" s="2"/>
      <c r="I65" s="2"/>
      <c r="J65" s="2"/>
    </row>
    <row r="66" spans="1:10" x14ac:dyDescent="0.2">
      <c r="A66" s="6" t="s">
        <v>30</v>
      </c>
      <c r="B66" t="s">
        <v>17</v>
      </c>
      <c r="C66" s="2"/>
      <c r="D66" s="2">
        <v>122</v>
      </c>
      <c r="E66" s="2"/>
      <c r="F66" s="2"/>
      <c r="G66" s="2"/>
      <c r="H66" s="2"/>
      <c r="I66" s="2"/>
      <c r="J66" s="2"/>
    </row>
    <row r="67" spans="1:10" x14ac:dyDescent="0.2">
      <c r="A67" s="6" t="s">
        <v>30</v>
      </c>
      <c r="B67" t="s">
        <v>21</v>
      </c>
      <c r="C67" s="2"/>
      <c r="D67" s="2">
        <v>119</v>
      </c>
      <c r="E67" s="2"/>
      <c r="F67" s="2"/>
      <c r="G67" s="2"/>
      <c r="H67" s="2"/>
      <c r="I67" s="2"/>
      <c r="J67" s="2"/>
    </row>
    <row r="68" spans="1:10" x14ac:dyDescent="0.2">
      <c r="A68" s="6" t="s">
        <v>30</v>
      </c>
      <c r="B68" t="s">
        <v>22</v>
      </c>
      <c r="C68" s="2"/>
      <c r="D68" s="2">
        <v>126</v>
      </c>
      <c r="E68" s="2"/>
      <c r="F68" s="2"/>
      <c r="G68" s="2"/>
      <c r="H68" s="2"/>
      <c r="I68" s="2"/>
      <c r="J68" s="2"/>
    </row>
    <row r="69" spans="1:10" x14ac:dyDescent="0.2">
      <c r="A69" s="6" t="s">
        <v>30</v>
      </c>
      <c r="B69" t="s">
        <v>23</v>
      </c>
      <c r="C69" s="2"/>
      <c r="D69" s="2">
        <v>57</v>
      </c>
      <c r="E69" s="2"/>
      <c r="F69" s="2"/>
      <c r="G69" s="2"/>
      <c r="H69" s="2"/>
      <c r="I69" s="2"/>
      <c r="J69" s="2"/>
    </row>
    <row r="70" spans="1:10" x14ac:dyDescent="0.2">
      <c r="A70" s="6" t="s">
        <v>30</v>
      </c>
      <c r="B70" t="s">
        <v>24</v>
      </c>
      <c r="C70" s="2"/>
      <c r="D70" s="2">
        <v>133</v>
      </c>
      <c r="E70" s="2"/>
      <c r="F70" s="2"/>
      <c r="G70" s="2"/>
      <c r="H70" s="2"/>
      <c r="I70" s="2"/>
      <c r="J70" s="2"/>
    </row>
    <row r="71" spans="1:10" x14ac:dyDescent="0.2">
      <c r="A71" s="6" t="s">
        <v>30</v>
      </c>
      <c r="B71" t="s">
        <v>25</v>
      </c>
      <c r="C71" s="2"/>
      <c r="D71" s="2">
        <v>187</v>
      </c>
      <c r="E71" s="2"/>
      <c r="F71" s="2"/>
      <c r="G71" s="2"/>
      <c r="H71" s="2"/>
      <c r="I71" s="2"/>
      <c r="J71" s="2"/>
    </row>
    <row r="72" spans="1:10" x14ac:dyDescent="0.2">
      <c r="A72" s="6" t="s">
        <v>30</v>
      </c>
      <c r="B72" s="11">
        <v>46281</v>
      </c>
      <c r="C72" s="2">
        <v>9</v>
      </c>
      <c r="D72" s="2"/>
      <c r="E72" s="2"/>
      <c r="F72" s="2"/>
      <c r="G72" s="2"/>
      <c r="H72" s="2"/>
      <c r="I72" s="2"/>
      <c r="J72" s="2"/>
    </row>
    <row r="73" spans="1:10" x14ac:dyDescent="0.2">
      <c r="A73" s="6" t="s">
        <v>31</v>
      </c>
      <c r="B73" t="s">
        <v>11</v>
      </c>
      <c r="C73" s="2">
        <v>61</v>
      </c>
      <c r="D73" s="2"/>
      <c r="E73" s="2"/>
      <c r="F73" s="2"/>
      <c r="G73" s="2"/>
      <c r="H73" s="2"/>
      <c r="I73" s="2"/>
      <c r="J73" s="2"/>
    </row>
    <row r="74" spans="1:10" x14ac:dyDescent="0.2">
      <c r="A74" s="6" t="s">
        <v>31</v>
      </c>
      <c r="B74" t="s">
        <v>12</v>
      </c>
      <c r="C74" s="2">
        <v>122</v>
      </c>
      <c r="D74" s="2">
        <v>424</v>
      </c>
      <c r="E74" s="2"/>
      <c r="F74" s="2"/>
      <c r="G74" s="2"/>
      <c r="H74" s="2"/>
      <c r="I74" s="2"/>
      <c r="J74" s="2"/>
    </row>
    <row r="75" spans="1:10" x14ac:dyDescent="0.2">
      <c r="A75" s="6" t="s">
        <v>31</v>
      </c>
      <c r="B75" t="s">
        <v>13</v>
      </c>
      <c r="C75" s="2"/>
      <c r="D75" s="2">
        <v>181</v>
      </c>
      <c r="E75" s="2"/>
      <c r="F75" s="2"/>
      <c r="G75" s="2"/>
      <c r="H75" s="2"/>
      <c r="I75" s="2"/>
      <c r="J75" s="2"/>
    </row>
    <row r="76" spans="1:10" x14ac:dyDescent="0.2">
      <c r="A76" s="6" t="s">
        <v>31</v>
      </c>
      <c r="B76" t="s">
        <v>14</v>
      </c>
      <c r="C76" s="2">
        <v>106</v>
      </c>
      <c r="D76" s="2">
        <v>136</v>
      </c>
      <c r="E76" s="2"/>
      <c r="F76" s="2"/>
      <c r="G76" s="2"/>
      <c r="H76" s="2"/>
      <c r="I76" s="2"/>
      <c r="J76" s="2"/>
    </row>
    <row r="77" spans="1:10" x14ac:dyDescent="0.2">
      <c r="A77" s="6" t="s">
        <v>31</v>
      </c>
      <c r="B77" t="s">
        <v>15</v>
      </c>
      <c r="C77" s="2">
        <v>106</v>
      </c>
      <c r="D77" s="2">
        <v>172</v>
      </c>
      <c r="E77" s="2">
        <v>93</v>
      </c>
      <c r="F77" s="2"/>
      <c r="G77" s="2"/>
      <c r="H77" s="2"/>
      <c r="I77" s="2"/>
      <c r="J77" s="2"/>
    </row>
    <row r="78" spans="1:10" x14ac:dyDescent="0.2">
      <c r="A78" s="6" t="s">
        <v>31</v>
      </c>
      <c r="B78" t="s">
        <v>16</v>
      </c>
      <c r="C78" s="2">
        <v>89</v>
      </c>
      <c r="D78" s="2"/>
      <c r="E78" s="2">
        <v>41</v>
      </c>
      <c r="F78" s="2"/>
      <c r="G78" s="2"/>
      <c r="H78" s="2"/>
      <c r="I78" s="2"/>
      <c r="J78" s="2"/>
    </row>
    <row r="79" spans="1:10" x14ac:dyDescent="0.2">
      <c r="A79" s="6" t="s">
        <v>31</v>
      </c>
      <c r="B79" t="s">
        <v>17</v>
      </c>
      <c r="C79" s="2">
        <v>55</v>
      </c>
      <c r="D79" s="2">
        <v>270</v>
      </c>
      <c r="E79" s="2"/>
      <c r="F79" s="2"/>
      <c r="G79" s="2"/>
      <c r="H79" s="2"/>
      <c r="I79" s="2"/>
      <c r="J79" s="2"/>
    </row>
    <row r="80" spans="1:10" x14ac:dyDescent="0.2">
      <c r="A80" s="6" t="s">
        <v>31</v>
      </c>
      <c r="B80" t="s">
        <v>18</v>
      </c>
      <c r="C80" s="2">
        <v>108</v>
      </c>
      <c r="D80" s="2"/>
      <c r="E80" s="2">
        <v>93</v>
      </c>
      <c r="F80" s="2"/>
      <c r="G80" s="2"/>
      <c r="H80" s="2"/>
      <c r="I80" s="2"/>
      <c r="J80" s="2"/>
    </row>
    <row r="81" spans="1:10" x14ac:dyDescent="0.2">
      <c r="A81" s="6" t="s">
        <v>31</v>
      </c>
      <c r="B81" t="s">
        <v>19</v>
      </c>
      <c r="C81" s="2">
        <v>55</v>
      </c>
      <c r="D81" s="2">
        <v>170</v>
      </c>
      <c r="E81" s="2"/>
      <c r="F81" s="2"/>
      <c r="G81" s="2"/>
      <c r="H81" s="2"/>
      <c r="I81" s="2"/>
      <c r="J81" s="2"/>
    </row>
    <row r="82" spans="1:10" x14ac:dyDescent="0.2">
      <c r="A82" s="6" t="s">
        <v>31</v>
      </c>
      <c r="B82" t="s">
        <v>20</v>
      </c>
      <c r="C82" s="2">
        <v>53</v>
      </c>
      <c r="D82" s="2"/>
      <c r="E82" s="2"/>
      <c r="F82" s="2"/>
      <c r="G82" s="2"/>
      <c r="H82" s="2"/>
      <c r="I82" s="2"/>
      <c r="J82" s="2"/>
    </row>
    <row r="83" spans="1:10" x14ac:dyDescent="0.2">
      <c r="A83" s="6" t="s">
        <v>31</v>
      </c>
      <c r="B83" t="s">
        <v>21</v>
      </c>
      <c r="C83" s="2"/>
      <c r="D83" s="2">
        <v>81</v>
      </c>
      <c r="E83" s="2"/>
      <c r="F83" s="2"/>
      <c r="G83" s="2"/>
      <c r="H83" s="2"/>
      <c r="I83" s="2"/>
      <c r="J83" s="2"/>
    </row>
    <row r="84" spans="1:10" x14ac:dyDescent="0.2">
      <c r="A84" s="6" t="s">
        <v>31</v>
      </c>
      <c r="B84" t="s">
        <v>22</v>
      </c>
      <c r="C84" s="2">
        <v>122</v>
      </c>
      <c r="D84" s="2">
        <v>436</v>
      </c>
      <c r="E84" s="2"/>
      <c r="F84" s="2"/>
      <c r="G84" s="2"/>
      <c r="H84" s="2"/>
      <c r="I84" s="2"/>
      <c r="J84" s="2"/>
    </row>
    <row r="85" spans="1:10" x14ac:dyDescent="0.2">
      <c r="A85" s="6" t="s">
        <v>31</v>
      </c>
      <c r="B85" t="s">
        <v>23</v>
      </c>
      <c r="C85" s="2">
        <v>80</v>
      </c>
      <c r="D85" s="2">
        <v>644</v>
      </c>
      <c r="E85" s="2">
        <v>41</v>
      </c>
      <c r="F85" s="2"/>
      <c r="G85" s="2"/>
      <c r="H85" s="2"/>
      <c r="I85" s="2"/>
      <c r="J85" s="2"/>
    </row>
    <row r="86" spans="1:10" x14ac:dyDescent="0.2">
      <c r="A86" s="6" t="s">
        <v>31</v>
      </c>
      <c r="B86" t="s">
        <v>24</v>
      </c>
      <c r="C86" s="2">
        <v>86</v>
      </c>
      <c r="D86" s="2">
        <v>48</v>
      </c>
      <c r="E86" s="2"/>
      <c r="F86" s="2"/>
      <c r="G86" s="2"/>
      <c r="H86" s="2"/>
      <c r="I86" s="2"/>
      <c r="J86" s="2"/>
    </row>
    <row r="87" spans="1:10" x14ac:dyDescent="0.2">
      <c r="A87" s="6" t="s">
        <v>31</v>
      </c>
      <c r="B87" t="s">
        <v>25</v>
      </c>
      <c r="C87" s="2"/>
      <c r="D87" s="2">
        <v>142</v>
      </c>
      <c r="E87" s="2">
        <v>183</v>
      </c>
      <c r="F87" s="2"/>
      <c r="G87" s="2"/>
      <c r="H87" s="2"/>
      <c r="I87" s="2"/>
      <c r="J87" s="2"/>
    </row>
    <row r="88" spans="1:10" x14ac:dyDescent="0.2">
      <c r="A88" s="6" t="s">
        <v>31</v>
      </c>
      <c r="B88" s="11">
        <v>46281</v>
      </c>
      <c r="C88" s="2">
        <v>10</v>
      </c>
      <c r="D88" s="2">
        <v>496</v>
      </c>
      <c r="E88" s="2"/>
      <c r="F88" s="2"/>
      <c r="G88" s="2"/>
      <c r="H88" s="2"/>
      <c r="I88" s="2"/>
      <c r="J88" s="2"/>
    </row>
    <row r="89" spans="1:10" x14ac:dyDescent="0.2">
      <c r="A89" s="6" t="s">
        <v>32</v>
      </c>
      <c r="B89" t="s">
        <v>11</v>
      </c>
      <c r="C89" s="2"/>
      <c r="D89" s="2">
        <v>266</v>
      </c>
      <c r="E89" s="2"/>
      <c r="F89" s="2"/>
      <c r="G89" s="2"/>
      <c r="H89" s="2"/>
      <c r="I89" s="2"/>
      <c r="J89" s="2"/>
    </row>
    <row r="90" spans="1:10" x14ac:dyDescent="0.2">
      <c r="A90" s="6" t="s">
        <v>32</v>
      </c>
      <c r="B90" t="s">
        <v>12</v>
      </c>
      <c r="C90" s="2">
        <v>106</v>
      </c>
      <c r="D90" s="2">
        <v>138</v>
      </c>
      <c r="E90" s="2"/>
      <c r="F90" s="2"/>
      <c r="G90" s="2"/>
      <c r="H90" s="2"/>
      <c r="I90" s="2"/>
      <c r="J90" s="2"/>
    </row>
    <row r="91" spans="1:10" x14ac:dyDescent="0.2">
      <c r="A91" s="6" t="s">
        <v>32</v>
      </c>
      <c r="B91" t="s">
        <v>13</v>
      </c>
      <c r="C91" s="2"/>
      <c r="D91" s="2">
        <v>390</v>
      </c>
      <c r="E91" s="2"/>
      <c r="F91" s="2"/>
      <c r="G91" s="2"/>
      <c r="H91" s="2"/>
      <c r="I91" s="2"/>
      <c r="J91" s="2"/>
    </row>
    <row r="92" spans="1:10" x14ac:dyDescent="0.2">
      <c r="A92" s="6" t="s">
        <v>32</v>
      </c>
      <c r="B92" t="s">
        <v>14</v>
      </c>
      <c r="C92" s="2"/>
      <c r="D92" s="2">
        <v>420</v>
      </c>
      <c r="E92" s="2"/>
      <c r="F92" s="2"/>
      <c r="G92" s="2"/>
      <c r="H92" s="2"/>
      <c r="I92" s="2"/>
      <c r="J92" s="2"/>
    </row>
    <row r="93" spans="1:10" x14ac:dyDescent="0.2">
      <c r="A93" s="6" t="s">
        <v>32</v>
      </c>
      <c r="B93" t="s">
        <v>15</v>
      </c>
      <c r="C93" s="2">
        <v>232</v>
      </c>
      <c r="D93" s="2">
        <v>739</v>
      </c>
      <c r="E93" s="2"/>
      <c r="F93" s="2"/>
      <c r="G93" s="2"/>
      <c r="H93" s="2"/>
      <c r="I93" s="2"/>
      <c r="J93" s="2"/>
    </row>
    <row r="94" spans="1:10" x14ac:dyDescent="0.2">
      <c r="A94" s="6" t="s">
        <v>32</v>
      </c>
      <c r="B94" t="s">
        <v>16</v>
      </c>
      <c r="C94" s="2"/>
      <c r="D94" s="2">
        <v>95</v>
      </c>
      <c r="E94" s="2"/>
      <c r="F94" s="2"/>
      <c r="G94" s="2"/>
      <c r="H94" s="2"/>
      <c r="I94" s="2"/>
      <c r="J94" s="2"/>
    </row>
    <row r="95" spans="1:10" x14ac:dyDescent="0.2">
      <c r="A95" s="6" t="s">
        <v>32</v>
      </c>
      <c r="B95" t="s">
        <v>17</v>
      </c>
      <c r="C95" s="2">
        <v>10</v>
      </c>
      <c r="D95" s="2">
        <v>417</v>
      </c>
      <c r="E95" s="2"/>
      <c r="F95" s="2"/>
      <c r="G95" s="2"/>
      <c r="H95" s="2"/>
      <c r="I95" s="2"/>
      <c r="J95" s="2"/>
    </row>
    <row r="96" spans="1:10" x14ac:dyDescent="0.2">
      <c r="A96" s="6" t="s">
        <v>32</v>
      </c>
      <c r="B96" t="s">
        <v>18</v>
      </c>
      <c r="C96" s="2">
        <v>125</v>
      </c>
      <c r="D96" s="2">
        <v>77</v>
      </c>
      <c r="E96" s="2"/>
      <c r="F96" s="2"/>
      <c r="G96" s="2"/>
      <c r="H96" s="2"/>
      <c r="I96" s="2"/>
      <c r="J96" s="2"/>
    </row>
    <row r="97" spans="1:10" x14ac:dyDescent="0.2">
      <c r="A97" s="6" t="s">
        <v>32</v>
      </c>
      <c r="B97" t="s">
        <v>19</v>
      </c>
      <c r="C97" s="2">
        <v>70</v>
      </c>
      <c r="D97" s="2">
        <v>121</v>
      </c>
      <c r="E97" s="2">
        <v>68</v>
      </c>
      <c r="F97" s="2"/>
      <c r="G97" s="2"/>
      <c r="H97" s="2"/>
      <c r="I97" s="2"/>
      <c r="J97" s="2"/>
    </row>
    <row r="98" spans="1:10" x14ac:dyDescent="0.2">
      <c r="A98" s="6" t="s">
        <v>32</v>
      </c>
      <c r="B98" t="s">
        <v>20</v>
      </c>
      <c r="C98" s="2">
        <v>61</v>
      </c>
      <c r="D98" s="2">
        <v>112</v>
      </c>
      <c r="E98" s="2"/>
      <c r="F98" s="2"/>
      <c r="G98" s="2"/>
      <c r="H98" s="2"/>
      <c r="I98" s="2"/>
      <c r="J98" s="2"/>
    </row>
    <row r="99" spans="1:10" x14ac:dyDescent="0.2">
      <c r="A99" s="6" t="s">
        <v>32</v>
      </c>
      <c r="B99" t="s">
        <v>21</v>
      </c>
      <c r="C99" s="2">
        <v>261</v>
      </c>
      <c r="D99" s="2">
        <v>172</v>
      </c>
      <c r="E99" s="2"/>
      <c r="F99" s="2"/>
      <c r="G99" s="2"/>
      <c r="H99" s="2"/>
      <c r="I99" s="2"/>
      <c r="J99" s="2"/>
    </row>
    <row r="100" spans="1:10" x14ac:dyDescent="0.2">
      <c r="A100" s="6" t="s">
        <v>32</v>
      </c>
      <c r="B100" t="s">
        <v>22</v>
      </c>
      <c r="C100" s="2">
        <v>99</v>
      </c>
      <c r="D100" s="2">
        <v>414</v>
      </c>
      <c r="E100" s="2"/>
      <c r="F100" s="2">
        <v>158</v>
      </c>
      <c r="G100" s="2"/>
      <c r="H100" s="2"/>
      <c r="I100" s="2"/>
      <c r="J100" s="2"/>
    </row>
    <row r="101" spans="1:10" x14ac:dyDescent="0.2">
      <c r="A101" s="6" t="s">
        <v>32</v>
      </c>
      <c r="B101" t="s">
        <v>23</v>
      </c>
      <c r="C101" s="2"/>
      <c r="D101" s="2"/>
      <c r="E101" s="2"/>
      <c r="F101" s="2">
        <v>243</v>
      </c>
      <c r="G101" s="2">
        <v>53</v>
      </c>
      <c r="H101" s="2"/>
      <c r="I101" s="2"/>
      <c r="J101" s="2"/>
    </row>
    <row r="102" spans="1:10" x14ac:dyDescent="0.2">
      <c r="A102" s="6" t="s">
        <v>32</v>
      </c>
      <c r="B102" t="s">
        <v>24</v>
      </c>
      <c r="C102" s="2">
        <v>8</v>
      </c>
      <c r="D102" s="2"/>
      <c r="E102" s="2"/>
      <c r="F102" s="2"/>
      <c r="G102" s="2"/>
      <c r="H102" s="2"/>
      <c r="I102" s="2"/>
      <c r="J102" s="2"/>
    </row>
    <row r="103" spans="1:10" x14ac:dyDescent="0.2">
      <c r="A103" s="6" t="s">
        <v>32</v>
      </c>
      <c r="B103" t="s">
        <v>25</v>
      </c>
      <c r="C103" s="2"/>
      <c r="D103" s="2">
        <v>88</v>
      </c>
      <c r="E103" s="2"/>
      <c r="F103" s="2"/>
      <c r="G103" s="2"/>
      <c r="H103" s="2"/>
      <c r="I103" s="2"/>
      <c r="J103" s="2"/>
    </row>
    <row r="104" spans="1:10" x14ac:dyDescent="0.2">
      <c r="A104" s="6" t="s">
        <v>32</v>
      </c>
      <c r="B104" s="11">
        <v>46281</v>
      </c>
      <c r="C104" s="2">
        <v>302</v>
      </c>
      <c r="D104" s="2">
        <v>53</v>
      </c>
      <c r="G104">
        <v>197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5"/>
  <sheetViews>
    <sheetView topLeftCell="A126" workbookViewId="0">
      <selection activeCell="M102" sqref="M102"/>
    </sheetView>
  </sheetViews>
  <sheetFormatPr baseColWidth="10" defaultColWidth="8.83203125" defaultRowHeight="15" x14ac:dyDescent="0.2"/>
  <cols>
    <col min="1" max="1" width="28" customWidth="1"/>
    <col min="2" max="4" width="14" customWidth="1"/>
    <col min="5" max="5" width="20" customWidth="1"/>
    <col min="6" max="6" width="26" customWidth="1"/>
    <col min="7" max="7" width="32" customWidth="1"/>
    <col min="8" max="8" width="14" customWidth="1"/>
    <col min="9" max="10" width="16" customWidth="1"/>
    <col min="12" max="12" width="9.1640625" bestFit="1" customWidth="1"/>
  </cols>
  <sheetData>
    <row r="1" spans="1:12" ht="22" customHeight="1" x14ac:dyDescent="0.2">
      <c r="A1" s="10" t="s">
        <v>0</v>
      </c>
      <c r="B1" s="10" t="s">
        <v>1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" t="s">
        <v>39</v>
      </c>
      <c r="J1" s="1" t="s">
        <v>40</v>
      </c>
    </row>
    <row r="2" spans="1:12" x14ac:dyDescent="0.2">
      <c r="A2" s="6" t="s">
        <v>41</v>
      </c>
      <c r="B2" s="6" t="s">
        <v>11</v>
      </c>
      <c r="C2" s="7">
        <v>137</v>
      </c>
      <c r="D2" s="7">
        <v>5386</v>
      </c>
      <c r="E2" s="7"/>
      <c r="F2" s="8"/>
      <c r="G2" s="8"/>
      <c r="H2" s="7"/>
      <c r="I2" s="3"/>
      <c r="J2" s="3"/>
    </row>
    <row r="3" spans="1:12" x14ac:dyDescent="0.2">
      <c r="A3" s="6" t="s">
        <v>41</v>
      </c>
      <c r="B3" s="6" t="s">
        <v>11</v>
      </c>
      <c r="C3" s="7"/>
      <c r="D3" s="7"/>
      <c r="E3" s="7"/>
      <c r="F3" s="8" t="s">
        <v>42</v>
      </c>
      <c r="G3" s="8" t="s">
        <v>43</v>
      </c>
      <c r="H3" s="7">
        <v>74</v>
      </c>
      <c r="I3" s="3"/>
      <c r="J3" s="3"/>
    </row>
    <row r="4" spans="1:12" x14ac:dyDescent="0.2">
      <c r="A4" s="6" t="s">
        <v>41</v>
      </c>
      <c r="B4" s="6" t="s">
        <v>11</v>
      </c>
      <c r="C4" s="7"/>
      <c r="D4" s="7"/>
      <c r="E4" s="7"/>
      <c r="F4" s="8" t="s">
        <v>42</v>
      </c>
      <c r="G4" s="8" t="s">
        <v>44</v>
      </c>
      <c r="H4" s="7">
        <v>175</v>
      </c>
      <c r="I4" s="3"/>
      <c r="J4" s="3"/>
    </row>
    <row r="5" spans="1:12" x14ac:dyDescent="0.2">
      <c r="A5" s="6" t="s">
        <v>41</v>
      </c>
      <c r="B5" s="6" t="s">
        <v>11</v>
      </c>
      <c r="C5" s="7"/>
      <c r="D5" s="7"/>
      <c r="E5" s="7"/>
      <c r="F5" s="8" t="s">
        <v>42</v>
      </c>
      <c r="G5" s="8" t="s">
        <v>45</v>
      </c>
      <c r="H5" s="7">
        <v>43</v>
      </c>
      <c r="I5" s="3"/>
      <c r="J5" s="3"/>
      <c r="L5" s="2"/>
    </row>
    <row r="6" spans="1:12" x14ac:dyDescent="0.2">
      <c r="A6" s="6" t="s">
        <v>41</v>
      </c>
      <c r="B6" s="6" t="s">
        <v>11</v>
      </c>
      <c r="C6" s="7"/>
      <c r="D6" s="7"/>
      <c r="E6" s="7"/>
      <c r="F6" s="8" t="s">
        <v>42</v>
      </c>
      <c r="G6" s="8" t="s">
        <v>46</v>
      </c>
      <c r="H6" s="7">
        <v>43</v>
      </c>
      <c r="I6" s="3"/>
      <c r="J6" s="3"/>
    </row>
    <row r="7" spans="1:12" x14ac:dyDescent="0.2">
      <c r="A7" s="6" t="s">
        <v>41</v>
      </c>
      <c r="B7" s="6" t="s">
        <v>11</v>
      </c>
      <c r="C7" s="7"/>
      <c r="D7" s="7"/>
      <c r="E7" s="7"/>
      <c r="F7" s="8" t="s">
        <v>47</v>
      </c>
      <c r="G7" s="8" t="s">
        <v>48</v>
      </c>
      <c r="H7" s="7">
        <v>500</v>
      </c>
      <c r="I7" s="3"/>
      <c r="J7" s="3"/>
      <c r="L7" s="2"/>
    </row>
    <row r="8" spans="1:12" x14ac:dyDescent="0.2">
      <c r="A8" s="6" t="s">
        <v>41</v>
      </c>
      <c r="B8" s="6" t="s">
        <v>11</v>
      </c>
      <c r="C8" s="7"/>
      <c r="D8" s="7"/>
      <c r="E8" s="7"/>
      <c r="F8" s="8" t="s">
        <v>47</v>
      </c>
      <c r="G8" s="8" t="s">
        <v>49</v>
      </c>
      <c r="H8" s="7">
        <v>100</v>
      </c>
      <c r="I8" s="3"/>
      <c r="J8" s="3"/>
    </row>
    <row r="9" spans="1:12" x14ac:dyDescent="0.2">
      <c r="A9" s="6" t="s">
        <v>41</v>
      </c>
      <c r="B9" s="6" t="s">
        <v>12</v>
      </c>
      <c r="C9" s="7">
        <v>60</v>
      </c>
      <c r="D9" s="7">
        <v>6131</v>
      </c>
      <c r="E9" s="7"/>
      <c r="F9" s="8"/>
      <c r="G9" s="8"/>
      <c r="H9" s="7"/>
      <c r="I9" s="3"/>
      <c r="J9" s="3"/>
    </row>
    <row r="10" spans="1:12" x14ac:dyDescent="0.2">
      <c r="A10" s="6" t="s">
        <v>41</v>
      </c>
      <c r="B10" s="6" t="s">
        <v>12</v>
      </c>
      <c r="C10" s="7"/>
      <c r="D10" s="7"/>
      <c r="E10" s="7"/>
      <c r="F10" s="8" t="s">
        <v>42</v>
      </c>
      <c r="G10" s="8" t="s">
        <v>43</v>
      </c>
      <c r="H10" s="7">
        <v>74</v>
      </c>
      <c r="I10" s="3"/>
      <c r="J10" s="3"/>
    </row>
    <row r="11" spans="1:12" x14ac:dyDescent="0.2">
      <c r="A11" s="6" t="s">
        <v>41</v>
      </c>
      <c r="B11" s="6" t="s">
        <v>12</v>
      </c>
      <c r="C11" s="7"/>
      <c r="D11" s="7"/>
      <c r="E11" s="7"/>
      <c r="F11" s="8" t="s">
        <v>42</v>
      </c>
      <c r="G11" s="8" t="s">
        <v>44</v>
      </c>
      <c r="H11" s="7">
        <v>123</v>
      </c>
      <c r="I11" s="3"/>
      <c r="J11" s="3"/>
    </row>
    <row r="12" spans="1:12" x14ac:dyDescent="0.2">
      <c r="A12" s="6" t="s">
        <v>41</v>
      </c>
      <c r="B12" s="6" t="s">
        <v>12</v>
      </c>
      <c r="C12" s="7"/>
      <c r="D12" s="7"/>
      <c r="E12" s="7"/>
      <c r="F12" s="8" t="s">
        <v>42</v>
      </c>
      <c r="G12" s="8" t="s">
        <v>45</v>
      </c>
      <c r="H12" s="7">
        <v>82</v>
      </c>
      <c r="I12" s="3"/>
      <c r="J12" s="3"/>
    </row>
    <row r="13" spans="1:12" x14ac:dyDescent="0.2">
      <c r="A13" s="6" t="s">
        <v>41</v>
      </c>
      <c r="B13" s="6" t="s">
        <v>12</v>
      </c>
      <c r="C13" s="7"/>
      <c r="D13" s="7"/>
      <c r="E13" s="7"/>
      <c r="F13" s="8" t="s">
        <v>42</v>
      </c>
      <c r="G13" s="8" t="s">
        <v>46</v>
      </c>
      <c r="H13" s="7">
        <v>40</v>
      </c>
      <c r="I13" s="3"/>
      <c r="J13" s="3"/>
    </row>
    <row r="14" spans="1:12" x14ac:dyDescent="0.2">
      <c r="A14" s="6" t="s">
        <v>41</v>
      </c>
      <c r="B14" s="6" t="s">
        <v>13</v>
      </c>
      <c r="C14" s="7">
        <v>165</v>
      </c>
      <c r="D14" s="7">
        <v>5614</v>
      </c>
      <c r="E14" s="7"/>
      <c r="F14" s="8"/>
      <c r="G14" s="8"/>
      <c r="H14" s="7"/>
      <c r="I14" s="3"/>
      <c r="J14" s="3"/>
    </row>
    <row r="15" spans="1:12" x14ac:dyDescent="0.2">
      <c r="A15" s="6" t="s">
        <v>41</v>
      </c>
      <c r="B15" s="6" t="s">
        <v>13</v>
      </c>
      <c r="C15" s="7"/>
      <c r="D15" s="7"/>
      <c r="E15" s="7"/>
      <c r="F15" s="8" t="s">
        <v>42</v>
      </c>
      <c r="G15" s="8" t="s">
        <v>50</v>
      </c>
      <c r="H15" s="7">
        <v>69</v>
      </c>
      <c r="I15" s="3"/>
      <c r="J15" s="3"/>
    </row>
    <row r="16" spans="1:12" x14ac:dyDescent="0.2">
      <c r="A16" s="6" t="s">
        <v>41</v>
      </c>
      <c r="B16" s="6" t="s">
        <v>13</v>
      </c>
      <c r="C16" s="7"/>
      <c r="D16" s="7"/>
      <c r="E16" s="7"/>
      <c r="F16" s="8" t="s">
        <v>42</v>
      </c>
      <c r="G16" s="8" t="s">
        <v>43</v>
      </c>
      <c r="H16" s="7">
        <v>74</v>
      </c>
      <c r="I16" s="3"/>
      <c r="J16" s="3"/>
    </row>
    <row r="17" spans="1:10" x14ac:dyDescent="0.2">
      <c r="A17" s="6" t="s">
        <v>41</v>
      </c>
      <c r="B17" s="6" t="s">
        <v>13</v>
      </c>
      <c r="C17" s="7"/>
      <c r="D17" s="7"/>
      <c r="E17" s="7"/>
      <c r="F17" s="8" t="s">
        <v>42</v>
      </c>
      <c r="G17" s="8" t="s">
        <v>45</v>
      </c>
      <c r="H17" s="7">
        <v>43</v>
      </c>
      <c r="I17" s="3"/>
      <c r="J17" s="3"/>
    </row>
    <row r="18" spans="1:10" x14ac:dyDescent="0.2">
      <c r="A18" s="6" t="s">
        <v>41</v>
      </c>
      <c r="B18" s="6" t="s">
        <v>13</v>
      </c>
      <c r="C18" s="7"/>
      <c r="D18" s="7"/>
      <c r="E18" s="7"/>
      <c r="F18" s="8" t="s">
        <v>42</v>
      </c>
      <c r="G18" s="8" t="s">
        <v>44</v>
      </c>
      <c r="H18" s="7">
        <v>103</v>
      </c>
      <c r="I18" s="3"/>
      <c r="J18" s="3"/>
    </row>
    <row r="19" spans="1:10" x14ac:dyDescent="0.2">
      <c r="A19" s="6" t="s">
        <v>41</v>
      </c>
      <c r="B19" s="6" t="s">
        <v>13</v>
      </c>
      <c r="C19" s="7"/>
      <c r="D19" s="7"/>
      <c r="E19" s="7"/>
      <c r="F19" s="8" t="s">
        <v>42</v>
      </c>
      <c r="G19" s="8" t="s">
        <v>46</v>
      </c>
      <c r="H19" s="7">
        <v>24</v>
      </c>
      <c r="I19" s="3"/>
      <c r="J19" s="3"/>
    </row>
    <row r="20" spans="1:10" x14ac:dyDescent="0.2">
      <c r="A20" s="6" t="s">
        <v>41</v>
      </c>
      <c r="B20" s="6" t="s">
        <v>13</v>
      </c>
      <c r="C20" s="7"/>
      <c r="D20" s="7"/>
      <c r="E20" s="7"/>
      <c r="F20" s="8" t="s">
        <v>47</v>
      </c>
      <c r="G20" s="8" t="s">
        <v>51</v>
      </c>
      <c r="H20" s="7">
        <v>200</v>
      </c>
      <c r="I20" s="3"/>
      <c r="J20" s="3"/>
    </row>
    <row r="21" spans="1:10" x14ac:dyDescent="0.2">
      <c r="A21" s="6" t="s">
        <v>41</v>
      </c>
      <c r="B21" s="6" t="s">
        <v>13</v>
      </c>
      <c r="C21" s="7"/>
      <c r="D21" s="7"/>
      <c r="E21" s="7"/>
      <c r="F21" s="8" t="s">
        <v>47</v>
      </c>
      <c r="G21" s="8" t="s">
        <v>49</v>
      </c>
      <c r="H21" s="7">
        <v>100</v>
      </c>
      <c r="I21" s="3"/>
      <c r="J21" s="3"/>
    </row>
    <row r="22" spans="1:10" x14ac:dyDescent="0.2">
      <c r="A22" s="6" t="s">
        <v>41</v>
      </c>
      <c r="B22" s="6" t="s">
        <v>14</v>
      </c>
      <c r="C22" s="7">
        <v>229</v>
      </c>
      <c r="D22" s="7">
        <v>4713</v>
      </c>
      <c r="E22" s="7"/>
      <c r="F22" s="8"/>
      <c r="G22" s="8"/>
      <c r="H22" s="7"/>
      <c r="I22" s="3"/>
      <c r="J22" s="3"/>
    </row>
    <row r="23" spans="1:10" x14ac:dyDescent="0.2">
      <c r="A23" s="6" t="s">
        <v>41</v>
      </c>
      <c r="B23" s="6" t="s">
        <v>14</v>
      </c>
      <c r="C23" s="7"/>
      <c r="D23" s="7"/>
      <c r="E23" s="7"/>
      <c r="F23" s="8" t="s">
        <v>42</v>
      </c>
      <c r="G23" s="8" t="s">
        <v>46</v>
      </c>
      <c r="H23" s="7">
        <v>24</v>
      </c>
      <c r="I23" s="3"/>
      <c r="J23" s="3"/>
    </row>
    <row r="24" spans="1:10" x14ac:dyDescent="0.2">
      <c r="A24" s="6" t="s">
        <v>41</v>
      </c>
      <c r="B24" s="6" t="s">
        <v>14</v>
      </c>
      <c r="C24" s="7"/>
      <c r="D24" s="7"/>
      <c r="E24" s="7"/>
      <c r="F24" s="8" t="s">
        <v>42</v>
      </c>
      <c r="G24" s="8" t="s">
        <v>44</v>
      </c>
      <c r="H24" s="7">
        <v>111</v>
      </c>
      <c r="I24" s="3"/>
      <c r="J24" s="3"/>
    </row>
    <row r="25" spans="1:10" x14ac:dyDescent="0.2">
      <c r="A25" s="6" t="s">
        <v>41</v>
      </c>
      <c r="B25" s="6" t="s">
        <v>14</v>
      </c>
      <c r="C25" s="7"/>
      <c r="D25" s="7"/>
      <c r="E25" s="7"/>
      <c r="F25" s="8" t="s">
        <v>42</v>
      </c>
      <c r="G25" s="8" t="s">
        <v>45</v>
      </c>
      <c r="H25" s="7">
        <v>112</v>
      </c>
      <c r="I25" s="3"/>
      <c r="J25" s="3"/>
    </row>
    <row r="26" spans="1:10" x14ac:dyDescent="0.2">
      <c r="A26" s="6" t="s">
        <v>41</v>
      </c>
      <c r="B26" s="6" t="s">
        <v>14</v>
      </c>
      <c r="C26" s="7"/>
      <c r="D26" s="7"/>
      <c r="E26" s="7"/>
      <c r="F26" s="8" t="s">
        <v>47</v>
      </c>
      <c r="G26" s="8" t="s">
        <v>48</v>
      </c>
      <c r="H26" s="7">
        <v>110</v>
      </c>
      <c r="I26" s="3"/>
      <c r="J26" s="3"/>
    </row>
    <row r="27" spans="1:10" x14ac:dyDescent="0.2">
      <c r="A27" s="6" t="s">
        <v>41</v>
      </c>
      <c r="B27" s="6" t="s">
        <v>15</v>
      </c>
      <c r="C27" s="7">
        <v>100</v>
      </c>
      <c r="D27" s="7">
        <v>4109</v>
      </c>
      <c r="E27" s="7"/>
      <c r="F27" s="8"/>
      <c r="G27" s="8"/>
      <c r="H27" s="7"/>
      <c r="I27" s="3"/>
      <c r="J27" s="3"/>
    </row>
    <row r="28" spans="1:10" x14ac:dyDescent="0.2">
      <c r="A28" s="6" t="s">
        <v>41</v>
      </c>
      <c r="B28" s="6" t="s">
        <v>15</v>
      </c>
      <c r="C28" s="7"/>
      <c r="D28" s="7"/>
      <c r="E28" s="7"/>
      <c r="F28" s="8" t="s">
        <v>42</v>
      </c>
      <c r="G28" s="8" t="s">
        <v>44</v>
      </c>
      <c r="H28" s="7">
        <v>130</v>
      </c>
      <c r="I28" s="3"/>
      <c r="J28" s="3"/>
    </row>
    <row r="29" spans="1:10" x14ac:dyDescent="0.2">
      <c r="A29" s="6" t="s">
        <v>41</v>
      </c>
      <c r="B29" s="6" t="s">
        <v>15</v>
      </c>
      <c r="C29" s="7"/>
      <c r="D29" s="7"/>
      <c r="E29" s="7"/>
      <c r="F29" s="8" t="s">
        <v>42</v>
      </c>
      <c r="G29" s="8" t="s">
        <v>45</v>
      </c>
      <c r="H29" s="7">
        <v>38</v>
      </c>
      <c r="I29" s="3"/>
      <c r="J29" s="3"/>
    </row>
    <row r="30" spans="1:10" x14ac:dyDescent="0.2">
      <c r="A30" s="6" t="s">
        <v>41</v>
      </c>
      <c r="B30" s="6" t="s">
        <v>15</v>
      </c>
      <c r="C30" s="7"/>
      <c r="D30" s="7"/>
      <c r="E30" s="7"/>
      <c r="F30" s="8" t="s">
        <v>42</v>
      </c>
      <c r="G30" s="8" t="s">
        <v>46</v>
      </c>
      <c r="H30" s="7">
        <v>107</v>
      </c>
      <c r="I30" s="3"/>
      <c r="J30" s="3"/>
    </row>
    <row r="31" spans="1:10" x14ac:dyDescent="0.2">
      <c r="A31" s="6" t="s">
        <v>41</v>
      </c>
      <c r="B31" s="6" t="s">
        <v>15</v>
      </c>
      <c r="C31" s="7"/>
      <c r="D31" s="7"/>
      <c r="E31" s="7"/>
      <c r="F31" s="8" t="s">
        <v>47</v>
      </c>
      <c r="G31" s="8" t="s">
        <v>48</v>
      </c>
      <c r="H31" s="7">
        <v>100</v>
      </c>
      <c r="I31" s="3"/>
      <c r="J31" s="3"/>
    </row>
    <row r="32" spans="1:10" x14ac:dyDescent="0.2">
      <c r="A32" s="6" t="s">
        <v>41</v>
      </c>
      <c r="B32" s="6" t="s">
        <v>16</v>
      </c>
      <c r="C32" s="7">
        <v>255</v>
      </c>
      <c r="D32" s="7">
        <v>3692</v>
      </c>
      <c r="E32" s="7"/>
      <c r="F32" s="8"/>
      <c r="G32" s="8"/>
      <c r="H32" s="7"/>
      <c r="I32" s="3"/>
      <c r="J32" s="3"/>
    </row>
    <row r="33" spans="1:10" x14ac:dyDescent="0.2">
      <c r="A33" s="6" t="s">
        <v>41</v>
      </c>
      <c r="B33" s="6" t="s">
        <v>16</v>
      </c>
      <c r="C33" s="7"/>
      <c r="D33" s="7"/>
      <c r="E33" s="7"/>
      <c r="F33" s="8" t="s">
        <v>42</v>
      </c>
      <c r="G33" s="8" t="s">
        <v>52</v>
      </c>
      <c r="H33" s="7">
        <v>10</v>
      </c>
      <c r="I33" s="3"/>
      <c r="J33" s="3"/>
    </row>
    <row r="34" spans="1:10" x14ac:dyDescent="0.2">
      <c r="A34" s="6" t="s">
        <v>41</v>
      </c>
      <c r="B34" s="6" t="s">
        <v>16</v>
      </c>
      <c r="C34" s="7"/>
      <c r="D34" s="7"/>
      <c r="E34" s="7"/>
      <c r="F34" s="8" t="s">
        <v>42</v>
      </c>
      <c r="G34" s="8" t="s">
        <v>44</v>
      </c>
      <c r="H34" s="7">
        <v>77</v>
      </c>
      <c r="I34" s="3"/>
      <c r="J34" s="3"/>
    </row>
    <row r="35" spans="1:10" x14ac:dyDescent="0.2">
      <c r="A35" s="6" t="s">
        <v>41</v>
      </c>
      <c r="B35" s="6" t="s">
        <v>16</v>
      </c>
      <c r="C35" s="7"/>
      <c r="D35" s="7"/>
      <c r="E35" s="7"/>
      <c r="F35" s="8" t="s">
        <v>42</v>
      </c>
      <c r="G35" s="8" t="s">
        <v>45</v>
      </c>
      <c r="H35" s="7">
        <v>21</v>
      </c>
      <c r="I35" s="3"/>
      <c r="J35" s="3"/>
    </row>
    <row r="36" spans="1:10" x14ac:dyDescent="0.2">
      <c r="A36" s="6" t="s">
        <v>41</v>
      </c>
      <c r="B36" s="6" t="s">
        <v>16</v>
      </c>
      <c r="C36" s="7"/>
      <c r="D36" s="7"/>
      <c r="E36" s="7"/>
      <c r="F36" s="8" t="s">
        <v>47</v>
      </c>
      <c r="G36" s="8" t="s">
        <v>48</v>
      </c>
      <c r="H36" s="7">
        <v>100</v>
      </c>
      <c r="I36" s="3"/>
      <c r="J36" s="3"/>
    </row>
    <row r="37" spans="1:10" x14ac:dyDescent="0.2">
      <c r="A37" s="6" t="s">
        <v>41</v>
      </c>
      <c r="B37" s="6" t="s">
        <v>17</v>
      </c>
      <c r="C37" s="7">
        <v>110</v>
      </c>
      <c r="D37" s="7">
        <v>6116</v>
      </c>
      <c r="E37" s="7"/>
      <c r="F37" s="8"/>
      <c r="G37" s="8"/>
      <c r="H37" s="7"/>
      <c r="I37" s="3"/>
      <c r="J37" s="3"/>
    </row>
    <row r="38" spans="1:10" x14ac:dyDescent="0.2">
      <c r="A38" s="6" t="s">
        <v>41</v>
      </c>
      <c r="B38" s="6" t="s">
        <v>17</v>
      </c>
      <c r="C38" s="7"/>
      <c r="D38" s="7"/>
      <c r="E38" s="7"/>
      <c r="F38" s="8" t="s">
        <v>42</v>
      </c>
      <c r="G38" s="8" t="s">
        <v>43</v>
      </c>
      <c r="H38" s="7">
        <v>74</v>
      </c>
      <c r="I38" s="3"/>
      <c r="J38" s="3"/>
    </row>
    <row r="39" spans="1:10" x14ac:dyDescent="0.2">
      <c r="A39" s="6" t="s">
        <v>41</v>
      </c>
      <c r="B39" s="6" t="s">
        <v>17</v>
      </c>
      <c r="C39" s="7"/>
      <c r="D39" s="7"/>
      <c r="E39" s="7"/>
      <c r="F39" s="8" t="s">
        <v>42</v>
      </c>
      <c r="G39" s="8" t="s">
        <v>50</v>
      </c>
      <c r="H39" s="7">
        <v>62</v>
      </c>
      <c r="I39" s="3"/>
      <c r="J39" s="3"/>
    </row>
    <row r="40" spans="1:10" x14ac:dyDescent="0.2">
      <c r="A40" s="6" t="s">
        <v>41</v>
      </c>
      <c r="B40" s="6" t="s">
        <v>17</v>
      </c>
      <c r="C40" s="7"/>
      <c r="D40" s="7"/>
      <c r="E40" s="7"/>
      <c r="F40" s="8" t="s">
        <v>42</v>
      </c>
      <c r="G40" s="8" t="s">
        <v>44</v>
      </c>
      <c r="H40" s="7">
        <v>91</v>
      </c>
      <c r="I40" s="3"/>
      <c r="J40" s="3"/>
    </row>
    <row r="41" spans="1:10" x14ac:dyDescent="0.2">
      <c r="A41" s="6" t="s">
        <v>41</v>
      </c>
      <c r="B41" s="6" t="s">
        <v>18</v>
      </c>
      <c r="C41" s="7">
        <v>265</v>
      </c>
      <c r="D41" s="7">
        <v>6703</v>
      </c>
      <c r="E41" s="7"/>
      <c r="F41" s="8"/>
      <c r="G41" s="8"/>
      <c r="H41" s="7"/>
      <c r="I41" s="3"/>
      <c r="J41" s="3"/>
    </row>
    <row r="42" spans="1:10" x14ac:dyDescent="0.2">
      <c r="A42" s="6" t="s">
        <v>41</v>
      </c>
      <c r="B42" s="6" t="s">
        <v>18</v>
      </c>
      <c r="C42" s="7"/>
      <c r="D42" s="7"/>
      <c r="E42" s="7"/>
      <c r="F42" s="8" t="s">
        <v>42</v>
      </c>
      <c r="G42" s="8" t="s">
        <v>43</v>
      </c>
      <c r="H42" s="7">
        <v>74</v>
      </c>
      <c r="I42" s="3"/>
      <c r="J42" s="3"/>
    </row>
    <row r="43" spans="1:10" x14ac:dyDescent="0.2">
      <c r="A43" s="6" t="s">
        <v>41</v>
      </c>
      <c r="B43" s="6" t="s">
        <v>18</v>
      </c>
      <c r="C43" s="7"/>
      <c r="D43" s="7"/>
      <c r="E43" s="7"/>
      <c r="F43" s="8" t="s">
        <v>42</v>
      </c>
      <c r="G43" s="8" t="s">
        <v>45</v>
      </c>
      <c r="H43" s="7">
        <v>60</v>
      </c>
      <c r="I43" s="3"/>
      <c r="J43" s="3"/>
    </row>
    <row r="44" spans="1:10" x14ac:dyDescent="0.2">
      <c r="A44" s="6" t="s">
        <v>41</v>
      </c>
      <c r="B44" s="6" t="s">
        <v>18</v>
      </c>
      <c r="C44" s="7"/>
      <c r="D44" s="7"/>
      <c r="E44" s="7"/>
      <c r="F44" s="8" t="s">
        <v>42</v>
      </c>
      <c r="G44" s="8" t="s">
        <v>46</v>
      </c>
      <c r="H44" s="7">
        <v>42</v>
      </c>
      <c r="I44" s="3"/>
      <c r="J44" s="3"/>
    </row>
    <row r="45" spans="1:10" x14ac:dyDescent="0.2">
      <c r="A45" s="6" t="s">
        <v>41</v>
      </c>
      <c r="B45" s="6" t="s">
        <v>18</v>
      </c>
      <c r="C45" s="7"/>
      <c r="D45" s="7"/>
      <c r="E45" s="7"/>
      <c r="F45" s="8" t="s">
        <v>42</v>
      </c>
      <c r="G45" s="8" t="s">
        <v>44</v>
      </c>
      <c r="H45" s="7">
        <v>105</v>
      </c>
      <c r="I45" s="3"/>
      <c r="J45" s="3"/>
    </row>
    <row r="46" spans="1:10" x14ac:dyDescent="0.2">
      <c r="A46" s="6" t="s">
        <v>41</v>
      </c>
      <c r="B46" s="6" t="s">
        <v>18</v>
      </c>
      <c r="C46" s="7"/>
      <c r="D46" s="7"/>
      <c r="E46" s="7"/>
      <c r="F46" s="8" t="s">
        <v>42</v>
      </c>
      <c r="G46" s="8" t="s">
        <v>52</v>
      </c>
      <c r="H46" s="7">
        <v>108</v>
      </c>
      <c r="I46" s="3"/>
      <c r="J46" s="3"/>
    </row>
    <row r="47" spans="1:10" x14ac:dyDescent="0.2">
      <c r="A47" s="6" t="s">
        <v>41</v>
      </c>
      <c r="B47" s="6" t="s">
        <v>18</v>
      </c>
      <c r="C47" s="7"/>
      <c r="D47" s="7"/>
      <c r="E47" s="7"/>
      <c r="F47" s="8" t="s">
        <v>47</v>
      </c>
      <c r="G47" s="8" t="s">
        <v>49</v>
      </c>
      <c r="H47" s="7">
        <v>100</v>
      </c>
      <c r="I47" s="3"/>
      <c r="J47" s="3"/>
    </row>
    <row r="48" spans="1:10" x14ac:dyDescent="0.2">
      <c r="A48" s="6" t="s">
        <v>41</v>
      </c>
      <c r="B48" s="6" t="s">
        <v>18</v>
      </c>
      <c r="C48" s="7"/>
      <c r="D48" s="7"/>
      <c r="E48" s="7"/>
      <c r="F48" s="8" t="s">
        <v>47</v>
      </c>
      <c r="G48" s="8" t="s">
        <v>43</v>
      </c>
      <c r="H48" s="7">
        <v>1000</v>
      </c>
      <c r="I48" s="3"/>
      <c r="J48" s="3"/>
    </row>
    <row r="49" spans="1:10" x14ac:dyDescent="0.2">
      <c r="A49" s="6" t="s">
        <v>41</v>
      </c>
      <c r="B49" s="6" t="s">
        <v>18</v>
      </c>
      <c r="C49" s="7"/>
      <c r="D49" s="7"/>
      <c r="E49" s="7"/>
      <c r="F49" s="8" t="s">
        <v>47</v>
      </c>
      <c r="G49" s="8" t="s">
        <v>48</v>
      </c>
      <c r="H49" s="7">
        <v>200</v>
      </c>
      <c r="I49" s="3"/>
      <c r="J49" s="3"/>
    </row>
    <row r="50" spans="1:10" x14ac:dyDescent="0.2">
      <c r="A50" s="6" t="s">
        <v>41</v>
      </c>
      <c r="B50" s="6" t="s">
        <v>19</v>
      </c>
      <c r="C50" s="7">
        <v>305</v>
      </c>
      <c r="D50" s="7">
        <v>6968</v>
      </c>
      <c r="E50" s="7"/>
      <c r="F50" s="8"/>
      <c r="G50" s="8"/>
      <c r="H50" s="7"/>
      <c r="I50" s="3"/>
      <c r="J50" s="3"/>
    </row>
    <row r="51" spans="1:10" x14ac:dyDescent="0.2">
      <c r="A51" s="6" t="s">
        <v>41</v>
      </c>
      <c r="B51" s="6" t="s">
        <v>19</v>
      </c>
      <c r="C51" s="7"/>
      <c r="D51" s="7"/>
      <c r="E51" s="7"/>
      <c r="F51" s="8" t="s">
        <v>42</v>
      </c>
      <c r="G51" s="8" t="s">
        <v>46</v>
      </c>
      <c r="H51" s="7">
        <v>19</v>
      </c>
      <c r="I51" s="3"/>
      <c r="J51" s="3"/>
    </row>
    <row r="52" spans="1:10" x14ac:dyDescent="0.2">
      <c r="A52" s="6" t="s">
        <v>41</v>
      </c>
      <c r="B52" s="6" t="s">
        <v>19</v>
      </c>
      <c r="C52" s="7"/>
      <c r="D52" s="7"/>
      <c r="E52" s="7"/>
      <c r="F52" s="8" t="s">
        <v>42</v>
      </c>
      <c r="G52" s="8" t="s">
        <v>45</v>
      </c>
      <c r="H52" s="7">
        <v>75</v>
      </c>
      <c r="I52" s="3"/>
      <c r="J52" s="3"/>
    </row>
    <row r="53" spans="1:10" x14ac:dyDescent="0.2">
      <c r="A53" s="6" t="s">
        <v>41</v>
      </c>
      <c r="B53" s="6" t="s">
        <v>19</v>
      </c>
      <c r="C53" s="7"/>
      <c r="D53" s="7"/>
      <c r="E53" s="7"/>
      <c r="F53" s="8" t="s">
        <v>42</v>
      </c>
      <c r="G53" s="8" t="s">
        <v>44</v>
      </c>
      <c r="H53" s="7">
        <v>186</v>
      </c>
      <c r="I53" s="3"/>
      <c r="J53" s="3"/>
    </row>
    <row r="54" spans="1:10" x14ac:dyDescent="0.2">
      <c r="A54" s="6" t="s">
        <v>41</v>
      </c>
      <c r="B54" s="6" t="s">
        <v>19</v>
      </c>
      <c r="C54" s="7"/>
      <c r="D54" s="7"/>
      <c r="E54" s="7"/>
      <c r="F54" s="8" t="s">
        <v>42</v>
      </c>
      <c r="G54" s="8" t="s">
        <v>50</v>
      </c>
      <c r="H54" s="7">
        <v>49</v>
      </c>
      <c r="I54" s="3"/>
      <c r="J54" s="3"/>
    </row>
    <row r="55" spans="1:10" x14ac:dyDescent="0.2">
      <c r="A55" s="6" t="s">
        <v>41</v>
      </c>
      <c r="B55" s="6" t="s">
        <v>19</v>
      </c>
      <c r="C55" s="7"/>
      <c r="D55" s="7"/>
      <c r="E55" s="7"/>
      <c r="F55" s="8" t="s">
        <v>47</v>
      </c>
      <c r="G55" s="8" t="s">
        <v>48</v>
      </c>
      <c r="H55" s="7">
        <v>300</v>
      </c>
      <c r="I55" s="3"/>
      <c r="J55" s="3"/>
    </row>
    <row r="56" spans="1:10" x14ac:dyDescent="0.2">
      <c r="A56" s="6" t="s">
        <v>41</v>
      </c>
      <c r="B56" s="6" t="s">
        <v>19</v>
      </c>
      <c r="C56" s="7"/>
      <c r="D56" s="7"/>
      <c r="E56" s="7"/>
      <c r="F56" s="8" t="s">
        <v>47</v>
      </c>
      <c r="G56" s="8" t="s">
        <v>51</v>
      </c>
      <c r="H56" s="7">
        <v>300</v>
      </c>
      <c r="I56" s="3"/>
      <c r="J56" s="3"/>
    </row>
    <row r="57" spans="1:10" x14ac:dyDescent="0.2">
      <c r="A57" s="6" t="s">
        <v>41</v>
      </c>
      <c r="B57" s="6" t="s">
        <v>20</v>
      </c>
      <c r="C57" s="7">
        <v>410</v>
      </c>
      <c r="D57" s="7">
        <v>5118</v>
      </c>
      <c r="E57" s="7"/>
      <c r="F57" s="8"/>
      <c r="G57" s="8"/>
      <c r="H57" s="7"/>
      <c r="I57" s="3"/>
      <c r="J57" s="3"/>
    </row>
    <row r="58" spans="1:10" x14ac:dyDescent="0.2">
      <c r="A58" s="6" t="s">
        <v>41</v>
      </c>
      <c r="B58" s="6" t="s">
        <v>20</v>
      </c>
      <c r="C58" s="7"/>
      <c r="D58" s="7"/>
      <c r="E58" s="7"/>
      <c r="F58" s="8" t="s">
        <v>42</v>
      </c>
      <c r="G58" s="8" t="s">
        <v>43</v>
      </c>
      <c r="H58" s="7">
        <v>74</v>
      </c>
      <c r="I58" s="3"/>
      <c r="J58" s="3"/>
    </row>
    <row r="59" spans="1:10" x14ac:dyDescent="0.2">
      <c r="A59" s="6" t="s">
        <v>41</v>
      </c>
      <c r="B59" s="6" t="s">
        <v>20</v>
      </c>
      <c r="C59" s="7"/>
      <c r="D59" s="7"/>
      <c r="E59" s="7"/>
      <c r="F59" s="8" t="s">
        <v>42</v>
      </c>
      <c r="G59" s="8" t="s">
        <v>44</v>
      </c>
      <c r="H59" s="7">
        <v>135</v>
      </c>
      <c r="I59" s="3"/>
      <c r="J59" s="3"/>
    </row>
    <row r="60" spans="1:10" x14ac:dyDescent="0.2">
      <c r="A60" s="6" t="s">
        <v>41</v>
      </c>
      <c r="B60" s="6" t="s">
        <v>20</v>
      </c>
      <c r="C60" s="7"/>
      <c r="D60" s="7"/>
      <c r="E60" s="7"/>
      <c r="F60" s="8" t="s">
        <v>42</v>
      </c>
      <c r="G60" s="8" t="s">
        <v>45</v>
      </c>
      <c r="H60" s="7">
        <v>55</v>
      </c>
      <c r="I60" s="3"/>
      <c r="J60" s="3"/>
    </row>
    <row r="61" spans="1:10" x14ac:dyDescent="0.2">
      <c r="A61" s="6" t="s">
        <v>41</v>
      </c>
      <c r="B61" s="6" t="s">
        <v>20</v>
      </c>
      <c r="C61" s="7"/>
      <c r="D61" s="7"/>
      <c r="E61" s="7"/>
      <c r="F61" s="8" t="s">
        <v>42</v>
      </c>
      <c r="G61" s="8" t="s">
        <v>46</v>
      </c>
      <c r="H61" s="7">
        <v>37</v>
      </c>
      <c r="I61" s="3"/>
      <c r="J61" s="3"/>
    </row>
    <row r="62" spans="1:10" x14ac:dyDescent="0.2">
      <c r="A62" s="6" t="s">
        <v>41</v>
      </c>
      <c r="B62" s="6" t="s">
        <v>20</v>
      </c>
      <c r="C62" s="7"/>
      <c r="D62" s="7"/>
      <c r="E62" s="7"/>
      <c r="F62" s="8" t="s">
        <v>42</v>
      </c>
      <c r="G62" s="8" t="s">
        <v>50</v>
      </c>
      <c r="H62" s="7">
        <v>5</v>
      </c>
      <c r="I62" s="3"/>
      <c r="J62" s="3"/>
    </row>
    <row r="63" spans="1:10" x14ac:dyDescent="0.2">
      <c r="A63" s="6" t="s">
        <v>41</v>
      </c>
      <c r="B63" s="6" t="s">
        <v>20</v>
      </c>
      <c r="C63" s="7"/>
      <c r="D63" s="7"/>
      <c r="E63" s="7"/>
      <c r="F63" s="8" t="s">
        <v>47</v>
      </c>
      <c r="G63" s="8" t="s">
        <v>49</v>
      </c>
      <c r="H63" s="7">
        <v>150</v>
      </c>
      <c r="I63" s="3"/>
      <c r="J63" s="3"/>
    </row>
    <row r="64" spans="1:10" x14ac:dyDescent="0.2">
      <c r="A64" s="6" t="s">
        <v>41</v>
      </c>
      <c r="B64" s="6" t="s">
        <v>21</v>
      </c>
      <c r="C64" s="7">
        <v>265</v>
      </c>
      <c r="D64" s="7">
        <v>5493</v>
      </c>
      <c r="E64" s="7"/>
      <c r="F64" s="8"/>
      <c r="G64" s="8"/>
      <c r="H64" s="7"/>
      <c r="I64" s="3"/>
      <c r="J64" s="3"/>
    </row>
    <row r="65" spans="1:10" x14ac:dyDescent="0.2">
      <c r="A65" s="6" t="s">
        <v>41</v>
      </c>
      <c r="B65" s="6" t="s">
        <v>21</v>
      </c>
      <c r="C65" s="7"/>
      <c r="D65" s="7"/>
      <c r="E65" s="7"/>
      <c r="F65" s="8" t="s">
        <v>42</v>
      </c>
      <c r="G65" s="8" t="s">
        <v>43</v>
      </c>
      <c r="H65" s="7">
        <v>74</v>
      </c>
      <c r="I65" s="3"/>
      <c r="J65" s="3"/>
    </row>
    <row r="66" spans="1:10" x14ac:dyDescent="0.2">
      <c r="A66" s="6" t="s">
        <v>41</v>
      </c>
      <c r="B66" s="6" t="s">
        <v>21</v>
      </c>
      <c r="C66" s="7"/>
      <c r="D66" s="7"/>
      <c r="E66" s="7"/>
      <c r="F66" s="8" t="s">
        <v>42</v>
      </c>
      <c r="G66" s="8" t="s">
        <v>44</v>
      </c>
      <c r="H66" s="7">
        <v>155</v>
      </c>
      <c r="I66" s="3"/>
      <c r="J66" s="3"/>
    </row>
    <row r="67" spans="1:10" x14ac:dyDescent="0.2">
      <c r="A67" s="6" t="s">
        <v>41</v>
      </c>
      <c r="B67" s="6" t="s">
        <v>21</v>
      </c>
      <c r="C67" s="7"/>
      <c r="D67" s="7"/>
      <c r="E67" s="7"/>
      <c r="F67" s="8" t="s">
        <v>42</v>
      </c>
      <c r="G67" s="8" t="s">
        <v>45</v>
      </c>
      <c r="H67" s="7">
        <v>94</v>
      </c>
      <c r="I67" s="3"/>
      <c r="J67" s="3"/>
    </row>
    <row r="68" spans="1:10" x14ac:dyDescent="0.2">
      <c r="A68" s="6" t="s">
        <v>41</v>
      </c>
      <c r="B68" s="6" t="s">
        <v>21</v>
      </c>
      <c r="C68" s="7"/>
      <c r="D68" s="7"/>
      <c r="E68" s="7"/>
      <c r="F68" s="8" t="s">
        <v>42</v>
      </c>
      <c r="G68" s="8" t="s">
        <v>46</v>
      </c>
      <c r="H68" s="7">
        <v>109</v>
      </c>
      <c r="I68" s="3"/>
      <c r="J68" s="3"/>
    </row>
    <row r="69" spans="1:10" x14ac:dyDescent="0.2">
      <c r="A69" s="6" t="s">
        <v>41</v>
      </c>
      <c r="B69" s="6" t="s">
        <v>21</v>
      </c>
      <c r="C69" s="7"/>
      <c r="D69" s="7"/>
      <c r="E69" s="7"/>
      <c r="F69" s="8" t="s">
        <v>42</v>
      </c>
      <c r="G69" s="8" t="s">
        <v>53</v>
      </c>
      <c r="H69" s="7">
        <v>76</v>
      </c>
      <c r="I69" s="3"/>
      <c r="J69" s="3"/>
    </row>
    <row r="70" spans="1:10" x14ac:dyDescent="0.2">
      <c r="A70" s="6" t="s">
        <v>41</v>
      </c>
      <c r="B70" s="6" t="s">
        <v>21</v>
      </c>
      <c r="C70" s="7"/>
      <c r="D70" s="7"/>
      <c r="E70" s="7"/>
      <c r="F70" s="8" t="s">
        <v>47</v>
      </c>
      <c r="G70" s="8" t="s">
        <v>48</v>
      </c>
      <c r="H70" s="7">
        <v>200</v>
      </c>
      <c r="I70" s="3"/>
      <c r="J70" s="3"/>
    </row>
    <row r="71" spans="1:10" x14ac:dyDescent="0.2">
      <c r="A71" s="6" t="s">
        <v>41</v>
      </c>
      <c r="B71" s="6" t="s">
        <v>21</v>
      </c>
      <c r="C71" s="7"/>
      <c r="D71" s="7"/>
      <c r="E71" s="7"/>
      <c r="F71" s="8" t="s">
        <v>47</v>
      </c>
      <c r="G71" s="8" t="s">
        <v>49</v>
      </c>
      <c r="H71" s="7">
        <v>200</v>
      </c>
      <c r="I71" s="3"/>
      <c r="J71" s="3"/>
    </row>
    <row r="72" spans="1:10" x14ac:dyDescent="0.2">
      <c r="A72" s="6" t="s">
        <v>41</v>
      </c>
      <c r="B72" s="6" t="s">
        <v>21</v>
      </c>
      <c r="C72" s="7"/>
      <c r="D72" s="7"/>
      <c r="E72" s="7"/>
      <c r="F72" s="8" t="s">
        <v>47</v>
      </c>
      <c r="G72" s="8" t="s">
        <v>54</v>
      </c>
      <c r="H72" s="7">
        <v>1000</v>
      </c>
      <c r="I72" s="3"/>
      <c r="J72" s="3"/>
    </row>
    <row r="73" spans="1:10" x14ac:dyDescent="0.2">
      <c r="A73" s="6" t="s">
        <v>41</v>
      </c>
      <c r="B73" s="6" t="s">
        <v>22</v>
      </c>
      <c r="C73" s="7">
        <v>214</v>
      </c>
      <c r="D73" s="7">
        <v>3218</v>
      </c>
      <c r="E73" s="7"/>
      <c r="F73" s="8"/>
      <c r="G73" s="8"/>
      <c r="H73" s="7"/>
      <c r="I73" s="3"/>
      <c r="J73" s="3"/>
    </row>
    <row r="74" spans="1:10" x14ac:dyDescent="0.2">
      <c r="A74" s="6" t="s">
        <v>41</v>
      </c>
      <c r="B74" s="6" t="s">
        <v>22</v>
      </c>
      <c r="C74" s="7"/>
      <c r="D74" s="7"/>
      <c r="E74" s="7"/>
      <c r="F74" s="8" t="s">
        <v>42</v>
      </c>
      <c r="G74" s="8" t="s">
        <v>46</v>
      </c>
      <c r="H74" s="7">
        <v>98</v>
      </c>
      <c r="I74" s="3"/>
      <c r="J74" s="3"/>
    </row>
    <row r="75" spans="1:10" x14ac:dyDescent="0.2">
      <c r="A75" s="6" t="s">
        <v>41</v>
      </c>
      <c r="B75" s="6" t="s">
        <v>22</v>
      </c>
      <c r="C75" s="7"/>
      <c r="D75" s="7"/>
      <c r="E75" s="7"/>
      <c r="F75" s="8" t="s">
        <v>42</v>
      </c>
      <c r="G75" s="8" t="s">
        <v>44</v>
      </c>
      <c r="H75" s="7">
        <v>101</v>
      </c>
      <c r="I75" s="3"/>
      <c r="J75" s="3"/>
    </row>
    <row r="76" spans="1:10" x14ac:dyDescent="0.2">
      <c r="A76" s="6" t="s">
        <v>41</v>
      </c>
      <c r="B76" s="6" t="s">
        <v>22</v>
      </c>
      <c r="C76" s="7"/>
      <c r="D76" s="7"/>
      <c r="E76" s="7"/>
      <c r="F76" s="8" t="s">
        <v>42</v>
      </c>
      <c r="G76" s="8" t="s">
        <v>45</v>
      </c>
      <c r="H76" s="7">
        <v>61</v>
      </c>
      <c r="I76" s="3"/>
      <c r="J76" s="3"/>
    </row>
    <row r="77" spans="1:10" x14ac:dyDescent="0.2">
      <c r="A77" s="6" t="s">
        <v>41</v>
      </c>
      <c r="B77" s="6" t="s">
        <v>22</v>
      </c>
      <c r="C77" s="7"/>
      <c r="D77" s="7"/>
      <c r="E77" s="7"/>
      <c r="F77" s="8" t="s">
        <v>42</v>
      </c>
      <c r="G77" s="8" t="s">
        <v>53</v>
      </c>
      <c r="H77" s="7">
        <v>51</v>
      </c>
      <c r="I77" s="3"/>
      <c r="J77" s="3"/>
    </row>
    <row r="78" spans="1:10" x14ac:dyDescent="0.2">
      <c r="A78" s="6" t="s">
        <v>41</v>
      </c>
      <c r="B78" s="6" t="s">
        <v>22</v>
      </c>
      <c r="C78" s="7"/>
      <c r="D78" s="7"/>
      <c r="E78" s="7"/>
      <c r="F78" s="8" t="s">
        <v>47</v>
      </c>
      <c r="G78" s="8" t="s">
        <v>48</v>
      </c>
      <c r="H78" s="7">
        <v>160</v>
      </c>
      <c r="I78" s="3"/>
      <c r="J78" s="3"/>
    </row>
    <row r="79" spans="1:10" x14ac:dyDescent="0.2">
      <c r="A79" s="6" t="s">
        <v>41</v>
      </c>
      <c r="B79" s="6" t="s">
        <v>23</v>
      </c>
      <c r="C79" s="7">
        <v>78</v>
      </c>
      <c r="D79" s="7">
        <v>3162</v>
      </c>
      <c r="E79" s="7"/>
      <c r="F79" s="8"/>
      <c r="G79" s="8"/>
      <c r="H79" s="7"/>
      <c r="I79" s="3"/>
      <c r="J79" s="3"/>
    </row>
    <row r="80" spans="1:10" x14ac:dyDescent="0.2">
      <c r="A80" s="6" t="s">
        <v>41</v>
      </c>
      <c r="B80" s="6" t="s">
        <v>23</v>
      </c>
      <c r="C80" s="7"/>
      <c r="D80" s="7"/>
      <c r="E80" s="7"/>
      <c r="F80" s="8" t="s">
        <v>42</v>
      </c>
      <c r="G80" s="8" t="s">
        <v>52</v>
      </c>
      <c r="H80" s="7">
        <v>5</v>
      </c>
      <c r="I80" s="3"/>
      <c r="J80" s="3"/>
    </row>
    <row r="81" spans="1:10" x14ac:dyDescent="0.2">
      <c r="A81" s="6" t="s">
        <v>41</v>
      </c>
      <c r="B81" s="6" t="s">
        <v>23</v>
      </c>
      <c r="C81" s="7"/>
      <c r="D81" s="7"/>
      <c r="E81" s="7"/>
      <c r="F81" s="8" t="s">
        <v>42</v>
      </c>
      <c r="G81" s="8" t="s">
        <v>44</v>
      </c>
      <c r="H81" s="7">
        <v>190</v>
      </c>
      <c r="I81" s="3"/>
      <c r="J81" s="3"/>
    </row>
    <row r="82" spans="1:10" x14ac:dyDescent="0.2">
      <c r="A82" s="6" t="s">
        <v>41</v>
      </c>
      <c r="B82" s="6" t="s">
        <v>23</v>
      </c>
      <c r="C82" s="7"/>
      <c r="D82" s="7"/>
      <c r="E82" s="7"/>
      <c r="F82" s="8" t="s">
        <v>42</v>
      </c>
      <c r="G82" s="8" t="s">
        <v>45</v>
      </c>
      <c r="H82" s="7">
        <v>73</v>
      </c>
      <c r="I82" s="3"/>
      <c r="J82" s="3"/>
    </row>
    <row r="83" spans="1:10" x14ac:dyDescent="0.2">
      <c r="A83" s="6" t="s">
        <v>41</v>
      </c>
      <c r="B83" s="6" t="s">
        <v>23</v>
      </c>
      <c r="C83" s="7"/>
      <c r="D83" s="7"/>
      <c r="E83" s="7"/>
      <c r="F83" s="8" t="s">
        <v>42</v>
      </c>
      <c r="G83" s="8" t="s">
        <v>46</v>
      </c>
      <c r="H83" s="7">
        <v>83</v>
      </c>
      <c r="I83" s="3"/>
      <c r="J83" s="3"/>
    </row>
    <row r="84" spans="1:10" x14ac:dyDescent="0.2">
      <c r="A84" s="6" t="s">
        <v>41</v>
      </c>
      <c r="B84" s="6" t="s">
        <v>23</v>
      </c>
      <c r="C84" s="7"/>
      <c r="D84" s="7"/>
      <c r="E84" s="7"/>
      <c r="F84" s="8" t="s">
        <v>47</v>
      </c>
      <c r="G84" s="8" t="s">
        <v>51</v>
      </c>
      <c r="H84" s="7">
        <v>200</v>
      </c>
      <c r="I84" s="3"/>
      <c r="J84" s="3"/>
    </row>
    <row r="85" spans="1:10" x14ac:dyDescent="0.2">
      <c r="A85" s="6" t="s">
        <v>41</v>
      </c>
      <c r="B85" s="6" t="s">
        <v>23</v>
      </c>
      <c r="C85" s="7"/>
      <c r="D85" s="7"/>
      <c r="E85" s="7"/>
      <c r="F85" s="8" t="s">
        <v>47</v>
      </c>
      <c r="G85" s="8" t="s">
        <v>49</v>
      </c>
      <c r="H85" s="7">
        <v>100</v>
      </c>
      <c r="I85" s="3"/>
      <c r="J85" s="3"/>
    </row>
    <row r="86" spans="1:10" x14ac:dyDescent="0.2">
      <c r="A86" s="6" t="s">
        <v>41</v>
      </c>
      <c r="B86" s="6" t="s">
        <v>23</v>
      </c>
      <c r="C86" s="7"/>
      <c r="D86" s="7"/>
      <c r="E86" s="7"/>
      <c r="F86" s="8" t="s">
        <v>47</v>
      </c>
      <c r="G86" s="8" t="s">
        <v>48</v>
      </c>
      <c r="H86" s="7">
        <v>200</v>
      </c>
      <c r="I86" s="3"/>
      <c r="J86" s="3"/>
    </row>
    <row r="87" spans="1:10" x14ac:dyDescent="0.2">
      <c r="A87" s="6" t="s">
        <v>41</v>
      </c>
      <c r="B87" s="6" t="s">
        <v>24</v>
      </c>
      <c r="C87" s="7">
        <v>150</v>
      </c>
      <c r="D87" s="7">
        <v>5474</v>
      </c>
      <c r="E87" s="7"/>
      <c r="F87" s="8"/>
      <c r="G87" s="8"/>
      <c r="H87" s="7"/>
      <c r="I87" s="3"/>
      <c r="J87" s="3"/>
    </row>
    <row r="88" spans="1:10" x14ac:dyDescent="0.2">
      <c r="A88" s="6" t="s">
        <v>41</v>
      </c>
      <c r="B88" s="6" t="s">
        <v>24</v>
      </c>
      <c r="C88" s="7"/>
      <c r="D88" s="7"/>
      <c r="E88" s="7"/>
      <c r="F88" s="8" t="s">
        <v>42</v>
      </c>
      <c r="G88" s="8" t="s">
        <v>43</v>
      </c>
      <c r="H88" s="7">
        <v>74</v>
      </c>
      <c r="I88" s="3"/>
      <c r="J88" s="3"/>
    </row>
    <row r="89" spans="1:10" x14ac:dyDescent="0.2">
      <c r="A89" s="6" t="s">
        <v>41</v>
      </c>
      <c r="B89" s="6" t="s">
        <v>24</v>
      </c>
      <c r="C89" s="7"/>
      <c r="D89" s="7"/>
      <c r="E89" s="7"/>
      <c r="F89" s="8" t="s">
        <v>42</v>
      </c>
      <c r="G89" s="8" t="s">
        <v>50</v>
      </c>
      <c r="H89" s="7">
        <v>90</v>
      </c>
      <c r="I89" s="3"/>
      <c r="J89" s="3"/>
    </row>
    <row r="90" spans="1:10" x14ac:dyDescent="0.2">
      <c r="A90" s="6" t="s">
        <v>41</v>
      </c>
      <c r="B90" s="6" t="s">
        <v>24</v>
      </c>
      <c r="C90" s="7"/>
      <c r="D90" s="7"/>
      <c r="E90" s="7"/>
      <c r="F90" s="8" t="s">
        <v>42</v>
      </c>
      <c r="G90" s="8" t="s">
        <v>44</v>
      </c>
      <c r="H90" s="7">
        <v>112</v>
      </c>
      <c r="I90" s="3"/>
      <c r="J90" s="3"/>
    </row>
    <row r="91" spans="1:10" x14ac:dyDescent="0.2">
      <c r="A91" s="6" t="s">
        <v>41</v>
      </c>
      <c r="B91" s="6" t="s">
        <v>24</v>
      </c>
      <c r="C91" s="7"/>
      <c r="D91" s="7"/>
      <c r="E91" s="7"/>
      <c r="F91" s="8" t="s">
        <v>42</v>
      </c>
      <c r="G91" s="8" t="s">
        <v>45</v>
      </c>
      <c r="H91" s="7">
        <v>43</v>
      </c>
      <c r="I91" s="3"/>
      <c r="J91" s="3"/>
    </row>
    <row r="92" spans="1:10" x14ac:dyDescent="0.2">
      <c r="A92" s="6" t="s">
        <v>41</v>
      </c>
      <c r="B92" s="6" t="s">
        <v>24</v>
      </c>
      <c r="C92" s="7"/>
      <c r="D92" s="7"/>
      <c r="E92" s="7"/>
      <c r="F92" s="8" t="s">
        <v>42</v>
      </c>
      <c r="G92" s="8" t="s">
        <v>55</v>
      </c>
      <c r="H92" s="7">
        <v>17</v>
      </c>
      <c r="I92" s="3"/>
      <c r="J92" s="3"/>
    </row>
    <row r="93" spans="1:10" x14ac:dyDescent="0.2">
      <c r="A93" s="6" t="s">
        <v>41</v>
      </c>
      <c r="B93" s="6" t="s">
        <v>25</v>
      </c>
      <c r="C93" s="7">
        <v>295</v>
      </c>
      <c r="D93" s="7">
        <v>6146</v>
      </c>
      <c r="E93" s="7"/>
      <c r="F93" s="8"/>
      <c r="G93" s="8"/>
      <c r="H93" s="7"/>
      <c r="I93" s="3"/>
      <c r="J93" s="3"/>
    </row>
    <row r="94" spans="1:10" x14ac:dyDescent="0.2">
      <c r="A94" s="6" t="s">
        <v>41</v>
      </c>
      <c r="B94" s="6" t="s">
        <v>25</v>
      </c>
      <c r="C94" s="7"/>
      <c r="D94" s="7"/>
      <c r="E94" s="7"/>
      <c r="F94" s="8" t="s">
        <v>42</v>
      </c>
      <c r="G94" s="8" t="s">
        <v>43</v>
      </c>
      <c r="H94" s="7">
        <v>74</v>
      </c>
      <c r="I94" s="3"/>
      <c r="J94" s="3"/>
    </row>
    <row r="95" spans="1:10" x14ac:dyDescent="0.2">
      <c r="A95" s="6" t="s">
        <v>41</v>
      </c>
      <c r="B95" s="6" t="s">
        <v>25</v>
      </c>
      <c r="C95" s="7"/>
      <c r="D95" s="7"/>
      <c r="E95" s="7"/>
      <c r="F95" s="8" t="s">
        <v>42</v>
      </c>
      <c r="G95" s="8" t="s">
        <v>44</v>
      </c>
      <c r="H95" s="7">
        <v>78</v>
      </c>
      <c r="I95" s="3"/>
      <c r="J95" s="3"/>
    </row>
    <row r="96" spans="1:10" x14ac:dyDescent="0.2">
      <c r="A96" s="6" t="s">
        <v>41</v>
      </c>
      <c r="B96" s="6" t="s">
        <v>25</v>
      </c>
      <c r="C96" s="7"/>
      <c r="D96" s="7"/>
      <c r="E96" s="7"/>
      <c r="F96" s="8" t="s">
        <v>42</v>
      </c>
      <c r="G96" s="8" t="s">
        <v>45</v>
      </c>
      <c r="H96" s="7">
        <v>135</v>
      </c>
      <c r="I96" s="3"/>
      <c r="J96" s="3"/>
    </row>
    <row r="97" spans="1:10" x14ac:dyDescent="0.2">
      <c r="A97" s="6" t="s">
        <v>41</v>
      </c>
      <c r="B97" s="6" t="s">
        <v>25</v>
      </c>
      <c r="C97" s="7"/>
      <c r="D97" s="7"/>
      <c r="E97" s="7"/>
      <c r="F97" s="8" t="s">
        <v>42</v>
      </c>
      <c r="G97" s="8" t="s">
        <v>46</v>
      </c>
      <c r="H97" s="7">
        <v>89</v>
      </c>
      <c r="I97" s="3"/>
      <c r="J97" s="3"/>
    </row>
    <row r="98" spans="1:10" x14ac:dyDescent="0.2">
      <c r="A98" s="6" t="s">
        <v>41</v>
      </c>
      <c r="B98" s="6" t="s">
        <v>25</v>
      </c>
      <c r="C98" s="7"/>
      <c r="D98" s="7"/>
      <c r="E98" s="7"/>
      <c r="F98" s="8" t="s">
        <v>42</v>
      </c>
      <c r="G98" s="8" t="s">
        <v>53</v>
      </c>
      <c r="H98" s="7">
        <v>10</v>
      </c>
      <c r="I98" s="3"/>
      <c r="J98" s="3"/>
    </row>
    <row r="99" spans="1:10" x14ac:dyDescent="0.2">
      <c r="A99" s="6" t="s">
        <v>41</v>
      </c>
      <c r="B99" s="6" t="s">
        <v>25</v>
      </c>
      <c r="C99" s="7"/>
      <c r="D99" s="7"/>
      <c r="E99" s="7"/>
      <c r="F99" s="8" t="s">
        <v>47</v>
      </c>
      <c r="G99" s="8" t="s">
        <v>51</v>
      </c>
      <c r="H99" s="7">
        <v>200</v>
      </c>
      <c r="I99" s="3"/>
      <c r="J99" s="3"/>
    </row>
    <row r="100" spans="1:10" x14ac:dyDescent="0.2">
      <c r="A100" s="6" t="s">
        <v>41</v>
      </c>
      <c r="B100" s="6" t="s">
        <v>25</v>
      </c>
      <c r="C100" s="7"/>
      <c r="D100" s="7"/>
      <c r="E100" s="7"/>
      <c r="F100" s="8" t="s">
        <v>47</v>
      </c>
      <c r="G100" s="8" t="s">
        <v>48</v>
      </c>
      <c r="H100" s="7">
        <v>130</v>
      </c>
      <c r="I100" s="3"/>
      <c r="J100" s="3"/>
    </row>
    <row r="101" spans="1:10" x14ac:dyDescent="0.2">
      <c r="A101" s="6" t="s">
        <v>41</v>
      </c>
      <c r="B101" s="12">
        <v>46281</v>
      </c>
      <c r="C101" s="7">
        <v>275</v>
      </c>
      <c r="D101" s="7">
        <v>6301</v>
      </c>
      <c r="E101" s="7"/>
      <c r="F101" s="8"/>
      <c r="G101" s="8"/>
      <c r="H101" s="7"/>
      <c r="I101" s="3"/>
      <c r="J101" s="3"/>
    </row>
    <row r="102" spans="1:10" x14ac:dyDescent="0.2">
      <c r="A102" s="6" t="s">
        <v>41</v>
      </c>
      <c r="B102" s="12">
        <v>46281</v>
      </c>
      <c r="C102" s="7"/>
      <c r="D102" s="7"/>
      <c r="E102" s="7"/>
      <c r="F102" s="8" t="s">
        <v>42</v>
      </c>
      <c r="G102" s="8" t="s">
        <v>43</v>
      </c>
      <c r="H102" s="7">
        <v>74</v>
      </c>
      <c r="I102" s="3"/>
      <c r="J102" s="3"/>
    </row>
    <row r="103" spans="1:10" x14ac:dyDescent="0.2">
      <c r="A103" s="6" t="s">
        <v>41</v>
      </c>
      <c r="B103" s="12">
        <v>46281</v>
      </c>
      <c r="C103" s="7"/>
      <c r="D103" s="7"/>
      <c r="E103" s="7"/>
      <c r="F103" s="8" t="s">
        <v>42</v>
      </c>
      <c r="G103" s="8" t="s">
        <v>50</v>
      </c>
      <c r="H103" s="7">
        <v>47</v>
      </c>
      <c r="I103" s="3"/>
      <c r="J103" s="3"/>
    </row>
    <row r="104" spans="1:10" x14ac:dyDescent="0.2">
      <c r="A104" s="6" t="s">
        <v>41</v>
      </c>
      <c r="B104" s="12">
        <v>46281</v>
      </c>
      <c r="C104" s="7"/>
      <c r="D104" s="7"/>
      <c r="E104" s="7"/>
      <c r="F104" s="8" t="s">
        <v>42</v>
      </c>
      <c r="G104" s="8" t="s">
        <v>53</v>
      </c>
      <c r="H104" s="7">
        <v>122</v>
      </c>
      <c r="I104" s="3"/>
      <c r="J104" s="3"/>
    </row>
    <row r="105" spans="1:10" x14ac:dyDescent="0.2">
      <c r="A105" s="6" t="s">
        <v>41</v>
      </c>
      <c r="B105" s="12">
        <v>46281</v>
      </c>
      <c r="C105" s="7"/>
      <c r="D105" s="7"/>
      <c r="E105" s="7"/>
      <c r="F105" s="8" t="s">
        <v>42</v>
      </c>
      <c r="G105" s="8" t="s">
        <v>51</v>
      </c>
      <c r="H105" s="7">
        <v>63</v>
      </c>
      <c r="I105" s="3"/>
      <c r="J105" s="3"/>
    </row>
    <row r="106" spans="1:10" x14ac:dyDescent="0.2">
      <c r="A106" s="6" t="s">
        <v>10</v>
      </c>
      <c r="B106" s="6" t="s">
        <v>14</v>
      </c>
      <c r="C106" s="7">
        <v>86.5</v>
      </c>
      <c r="D106" s="7"/>
      <c r="E106" s="7"/>
      <c r="F106" s="8"/>
      <c r="G106" s="8"/>
      <c r="H106" s="7"/>
      <c r="I106" s="3"/>
      <c r="J106" s="3"/>
    </row>
    <row r="107" spans="1:10" x14ac:dyDescent="0.2">
      <c r="A107" s="6" t="s">
        <v>27</v>
      </c>
      <c r="B107" s="6" t="s">
        <v>11</v>
      </c>
      <c r="C107" s="7"/>
      <c r="D107" s="7"/>
      <c r="E107" s="7"/>
      <c r="F107" s="8"/>
      <c r="G107" s="8" t="s">
        <v>56</v>
      </c>
      <c r="H107" s="7"/>
      <c r="I107" s="7"/>
      <c r="J107" s="7">
        <f>2129.1-150</f>
        <v>1979.1</v>
      </c>
    </row>
    <row r="108" spans="1:10" x14ac:dyDescent="0.2">
      <c r="A108" s="6" t="s">
        <v>27</v>
      </c>
      <c r="B108" s="6" t="s">
        <v>11</v>
      </c>
      <c r="C108" s="7"/>
      <c r="D108" s="7"/>
      <c r="E108" s="7"/>
      <c r="F108" s="8"/>
      <c r="G108" s="8" t="s">
        <v>57</v>
      </c>
      <c r="H108" s="7"/>
      <c r="I108" s="7"/>
      <c r="J108" s="7">
        <v>753</v>
      </c>
    </row>
    <row r="109" spans="1:10" x14ac:dyDescent="0.2">
      <c r="A109" s="6" t="s">
        <v>27</v>
      </c>
      <c r="B109" s="6" t="s">
        <v>11</v>
      </c>
      <c r="C109" s="7"/>
      <c r="D109" s="7"/>
      <c r="E109" s="7"/>
      <c r="F109" s="8"/>
      <c r="G109" s="8" t="s">
        <v>58</v>
      </c>
      <c r="H109" s="7"/>
      <c r="I109" s="7"/>
      <c r="J109" s="7">
        <v>1600</v>
      </c>
    </row>
    <row r="110" spans="1:10" x14ac:dyDescent="0.2">
      <c r="A110" s="6" t="s">
        <v>27</v>
      </c>
      <c r="B110" s="6" t="s">
        <v>11</v>
      </c>
      <c r="C110" s="7"/>
      <c r="D110" s="7"/>
      <c r="E110" s="7"/>
      <c r="F110" s="8"/>
      <c r="G110" s="9" t="s">
        <v>141</v>
      </c>
      <c r="H110" s="7"/>
      <c r="I110" s="7"/>
      <c r="J110" s="7">
        <v>2017</v>
      </c>
    </row>
    <row r="111" spans="1:10" x14ac:dyDescent="0.2">
      <c r="A111" s="6" t="s">
        <v>27</v>
      </c>
      <c r="B111" s="6" t="s">
        <v>11</v>
      </c>
      <c r="C111" s="7"/>
      <c r="D111" s="7"/>
      <c r="E111" s="7"/>
      <c r="F111" s="8"/>
      <c r="G111" s="8" t="s">
        <v>59</v>
      </c>
      <c r="H111" s="7"/>
      <c r="I111" s="7"/>
      <c r="J111" s="7">
        <v>2385</v>
      </c>
    </row>
    <row r="112" spans="1:10" x14ac:dyDescent="0.2">
      <c r="A112" s="6" t="s">
        <v>27</v>
      </c>
      <c r="B112" s="6" t="s">
        <v>11</v>
      </c>
      <c r="C112" s="7"/>
      <c r="D112" s="7"/>
      <c r="E112" s="7"/>
      <c r="F112" s="8" t="s">
        <v>42</v>
      </c>
      <c r="G112" s="9" t="s">
        <v>142</v>
      </c>
      <c r="H112" s="7"/>
      <c r="I112" s="7">
        <v>133</v>
      </c>
      <c r="J112" s="7"/>
    </row>
    <row r="113" spans="1:10" x14ac:dyDescent="0.2">
      <c r="A113" s="6" t="s">
        <v>27</v>
      </c>
      <c r="B113" s="6" t="s">
        <v>11</v>
      </c>
      <c r="C113" s="7">
        <v>116</v>
      </c>
      <c r="D113" s="7">
        <v>579.4</v>
      </c>
      <c r="E113" s="7"/>
      <c r="F113" s="8"/>
      <c r="G113" s="8"/>
      <c r="H113" s="7"/>
      <c r="I113" s="7"/>
      <c r="J113" s="7"/>
    </row>
    <row r="114" spans="1:10" x14ac:dyDescent="0.2">
      <c r="A114" s="6" t="s">
        <v>27</v>
      </c>
      <c r="B114" s="6" t="s">
        <v>12</v>
      </c>
      <c r="C114" s="7">
        <v>52.8</v>
      </c>
      <c r="D114" s="7">
        <v>1129.8</v>
      </c>
      <c r="E114" s="7"/>
      <c r="F114" s="8"/>
      <c r="G114" s="8"/>
      <c r="H114" s="7"/>
      <c r="I114" s="7"/>
      <c r="J114" s="7"/>
    </row>
    <row r="115" spans="1:10" x14ac:dyDescent="0.2">
      <c r="A115" s="6" t="s">
        <v>27</v>
      </c>
      <c r="B115" s="6" t="s">
        <v>12</v>
      </c>
      <c r="C115" s="7"/>
      <c r="D115" s="7"/>
      <c r="E115" s="7"/>
      <c r="F115" s="8"/>
      <c r="G115" s="8" t="s">
        <v>60</v>
      </c>
      <c r="H115" s="7"/>
      <c r="I115" s="7"/>
      <c r="J115" s="7">
        <v>3012</v>
      </c>
    </row>
    <row r="116" spans="1:10" x14ac:dyDescent="0.2">
      <c r="A116" s="6" t="s">
        <v>27</v>
      </c>
      <c r="B116" s="6" t="s">
        <v>12</v>
      </c>
      <c r="C116" s="7"/>
      <c r="D116" s="7"/>
      <c r="E116" s="7"/>
      <c r="F116" s="8" t="s">
        <v>42</v>
      </c>
      <c r="G116" s="9" t="s">
        <v>143</v>
      </c>
      <c r="H116" s="7"/>
      <c r="I116" s="7">
        <v>628</v>
      </c>
      <c r="J116" s="7"/>
    </row>
    <row r="117" spans="1:10" x14ac:dyDescent="0.2">
      <c r="A117" s="6" t="s">
        <v>27</v>
      </c>
      <c r="B117" s="6" t="s">
        <v>13</v>
      </c>
      <c r="C117" s="7"/>
      <c r="D117" s="7">
        <v>626.79999999999995</v>
      </c>
      <c r="E117" s="7"/>
      <c r="F117" s="8"/>
      <c r="G117" s="8"/>
      <c r="H117" s="7"/>
      <c r="I117" s="7"/>
      <c r="J117" s="7"/>
    </row>
    <row r="118" spans="1:10" x14ac:dyDescent="0.2">
      <c r="A118" s="6" t="s">
        <v>27</v>
      </c>
      <c r="B118" s="6" t="s">
        <v>13</v>
      </c>
      <c r="C118" s="7"/>
      <c r="D118" s="7"/>
      <c r="E118" s="7"/>
      <c r="F118" s="8"/>
      <c r="G118" s="8" t="s">
        <v>61</v>
      </c>
      <c r="H118" s="7"/>
      <c r="I118" s="7"/>
      <c r="J118" s="7">
        <v>1600</v>
      </c>
    </row>
    <row r="119" spans="1:10" x14ac:dyDescent="0.2">
      <c r="A119" s="6" t="s">
        <v>27</v>
      </c>
      <c r="B119" s="6" t="s">
        <v>14</v>
      </c>
      <c r="C119" s="7"/>
      <c r="D119" s="7">
        <v>667.69</v>
      </c>
      <c r="E119" s="7">
        <v>19</v>
      </c>
      <c r="F119" s="8"/>
      <c r="G119" s="8"/>
      <c r="H119" s="7"/>
      <c r="I119" s="7"/>
      <c r="J119" s="7"/>
    </row>
    <row r="120" spans="1:10" x14ac:dyDescent="0.2">
      <c r="A120" s="6" t="s">
        <v>27</v>
      </c>
      <c r="B120" s="6" t="s">
        <v>14</v>
      </c>
      <c r="C120" s="7"/>
      <c r="D120" s="7"/>
      <c r="E120" s="7"/>
      <c r="F120" s="8"/>
      <c r="G120" s="8" t="s">
        <v>62</v>
      </c>
      <c r="H120" s="7"/>
      <c r="I120" s="7"/>
      <c r="J120" s="7">
        <v>427</v>
      </c>
    </row>
    <row r="121" spans="1:10" x14ac:dyDescent="0.2">
      <c r="A121" s="6" t="s">
        <v>27</v>
      </c>
      <c r="B121" s="6" t="s">
        <v>14</v>
      </c>
      <c r="C121" s="7"/>
      <c r="D121" s="7"/>
      <c r="E121" s="7"/>
      <c r="F121" s="8"/>
      <c r="G121" s="8" t="s">
        <v>63</v>
      </c>
      <c r="H121" s="7"/>
      <c r="I121" s="7"/>
      <c r="J121" s="7">
        <f>2129.1-150</f>
        <v>1979.1</v>
      </c>
    </row>
    <row r="122" spans="1:10" x14ac:dyDescent="0.2">
      <c r="A122" s="6" t="s">
        <v>27</v>
      </c>
      <c r="B122" s="6" t="s">
        <v>14</v>
      </c>
      <c r="C122" s="7"/>
      <c r="D122" s="7"/>
      <c r="E122" s="7"/>
      <c r="F122" s="8"/>
      <c r="G122" s="8" t="s">
        <v>64</v>
      </c>
      <c r="H122" s="7"/>
      <c r="I122" s="7"/>
      <c r="J122" s="7">
        <v>1684</v>
      </c>
    </row>
    <row r="123" spans="1:10" x14ac:dyDescent="0.2">
      <c r="A123" s="6" t="s">
        <v>27</v>
      </c>
      <c r="B123" s="6" t="s">
        <v>14</v>
      </c>
      <c r="C123" s="7"/>
      <c r="D123" s="7"/>
      <c r="E123" s="7"/>
      <c r="F123" s="8" t="s">
        <v>42</v>
      </c>
      <c r="G123" s="9" t="s">
        <v>144</v>
      </c>
      <c r="H123" s="7"/>
      <c r="I123" s="7">
        <v>280</v>
      </c>
      <c r="J123" s="7"/>
    </row>
    <row r="124" spans="1:10" x14ac:dyDescent="0.2">
      <c r="A124" s="6" t="s">
        <v>27</v>
      </c>
      <c r="B124" s="6" t="s">
        <v>14</v>
      </c>
      <c r="C124" s="7"/>
      <c r="D124" s="7"/>
      <c r="E124" s="7"/>
      <c r="F124" s="8" t="s">
        <v>42</v>
      </c>
      <c r="G124" s="9" t="s">
        <v>145</v>
      </c>
      <c r="H124" s="7"/>
      <c r="I124" s="7">
        <v>276</v>
      </c>
      <c r="J124" s="7"/>
    </row>
    <row r="125" spans="1:10" x14ac:dyDescent="0.2">
      <c r="A125" s="6" t="s">
        <v>27</v>
      </c>
      <c r="B125" s="6" t="s">
        <v>15</v>
      </c>
      <c r="C125" s="7"/>
      <c r="D125" s="7">
        <v>794.7</v>
      </c>
      <c r="E125" s="7"/>
      <c r="F125" s="8"/>
      <c r="G125" s="8"/>
      <c r="H125" s="7"/>
      <c r="I125" s="7"/>
      <c r="J125" s="7"/>
    </row>
    <row r="126" spans="1:10" x14ac:dyDescent="0.2">
      <c r="A126" s="6" t="s">
        <v>27</v>
      </c>
      <c r="B126" s="6" t="s">
        <v>15</v>
      </c>
      <c r="C126" s="7"/>
      <c r="D126" s="7"/>
      <c r="E126" s="7"/>
      <c r="F126" s="8"/>
      <c r="G126" s="8" t="s">
        <v>65</v>
      </c>
      <c r="H126" s="7"/>
      <c r="I126" s="7"/>
      <c r="J126" s="7">
        <v>2650</v>
      </c>
    </row>
    <row r="127" spans="1:10" x14ac:dyDescent="0.2">
      <c r="A127" s="6" t="s">
        <v>27</v>
      </c>
      <c r="B127" s="6" t="s">
        <v>15</v>
      </c>
      <c r="C127" s="7"/>
      <c r="D127" s="7"/>
      <c r="E127" s="7"/>
      <c r="F127" s="8"/>
      <c r="G127" s="8" t="s">
        <v>66</v>
      </c>
      <c r="H127" s="7"/>
      <c r="I127" s="7"/>
      <c r="J127" s="7">
        <v>1834</v>
      </c>
    </row>
    <row r="128" spans="1:10" x14ac:dyDescent="0.2">
      <c r="A128" s="6" t="s">
        <v>27</v>
      </c>
      <c r="B128" s="6" t="s">
        <v>15</v>
      </c>
      <c r="C128" s="7"/>
      <c r="D128" s="7"/>
      <c r="E128" s="7"/>
      <c r="F128" s="8"/>
      <c r="G128" s="8" t="s">
        <v>67</v>
      </c>
      <c r="H128" s="7"/>
      <c r="I128" s="7"/>
      <c r="J128" s="7">
        <v>225</v>
      </c>
    </row>
    <row r="129" spans="1:10" x14ac:dyDescent="0.2">
      <c r="A129" s="6" t="s">
        <v>27</v>
      </c>
      <c r="B129" s="6" t="s">
        <v>15</v>
      </c>
      <c r="C129" s="7"/>
      <c r="D129" s="7"/>
      <c r="E129" s="7"/>
      <c r="F129" s="8"/>
      <c r="G129" s="8" t="s">
        <v>68</v>
      </c>
      <c r="H129" s="7"/>
      <c r="I129" s="7"/>
      <c r="J129" s="7">
        <v>550</v>
      </c>
    </row>
    <row r="130" spans="1:10" x14ac:dyDescent="0.2">
      <c r="A130" s="6" t="s">
        <v>27</v>
      </c>
      <c r="B130" s="6" t="s">
        <v>16</v>
      </c>
      <c r="C130" s="7">
        <v>120</v>
      </c>
      <c r="D130" s="7">
        <v>385</v>
      </c>
      <c r="E130" s="7"/>
      <c r="F130" s="8"/>
      <c r="G130" s="8"/>
      <c r="H130" s="7"/>
      <c r="I130" s="7"/>
      <c r="J130" s="7"/>
    </row>
    <row r="131" spans="1:10" x14ac:dyDescent="0.2">
      <c r="A131" s="6" t="s">
        <v>27</v>
      </c>
      <c r="B131" s="6" t="s">
        <v>17</v>
      </c>
      <c r="C131" s="7"/>
      <c r="D131" s="7"/>
      <c r="E131" s="7"/>
      <c r="F131" s="8"/>
      <c r="G131" s="8" t="s">
        <v>69</v>
      </c>
      <c r="H131" s="7"/>
      <c r="I131" s="7"/>
      <c r="J131" s="7">
        <v>2510</v>
      </c>
    </row>
    <row r="132" spans="1:10" x14ac:dyDescent="0.2">
      <c r="A132" s="6" t="s">
        <v>27</v>
      </c>
      <c r="B132" s="6" t="s">
        <v>17</v>
      </c>
      <c r="C132" s="7"/>
      <c r="D132" s="7">
        <v>577</v>
      </c>
      <c r="E132" s="7">
        <v>21</v>
      </c>
      <c r="F132" s="8"/>
      <c r="G132" s="8"/>
      <c r="H132" s="7"/>
      <c r="I132" s="7"/>
      <c r="J132" s="7"/>
    </row>
    <row r="133" spans="1:10" x14ac:dyDescent="0.2">
      <c r="A133" s="6" t="s">
        <v>27</v>
      </c>
      <c r="B133" s="6" t="s">
        <v>18</v>
      </c>
      <c r="C133" s="7"/>
      <c r="D133" s="7">
        <v>656.3</v>
      </c>
      <c r="E133" s="7"/>
      <c r="F133" s="8"/>
      <c r="G133" s="8"/>
      <c r="H133" s="7"/>
      <c r="I133" s="7"/>
      <c r="J133" s="7"/>
    </row>
    <row r="134" spans="1:10" x14ac:dyDescent="0.2">
      <c r="A134" s="6" t="s">
        <v>27</v>
      </c>
      <c r="B134" s="6" t="s">
        <v>18</v>
      </c>
      <c r="C134" s="7"/>
      <c r="D134" s="7"/>
      <c r="E134" s="7"/>
      <c r="F134" s="8"/>
      <c r="G134" s="8" t="s">
        <v>70</v>
      </c>
      <c r="H134" s="7"/>
      <c r="I134" s="7"/>
      <c r="J134" s="7">
        <v>1500</v>
      </c>
    </row>
    <row r="135" spans="1:10" x14ac:dyDescent="0.2">
      <c r="A135" s="6" t="s">
        <v>27</v>
      </c>
      <c r="B135" s="6" t="s">
        <v>19</v>
      </c>
      <c r="C135" s="7">
        <v>279</v>
      </c>
      <c r="D135" s="7">
        <v>833.3</v>
      </c>
      <c r="E135" s="7">
        <v>17</v>
      </c>
      <c r="F135" s="8"/>
      <c r="G135" s="8"/>
      <c r="H135" s="7"/>
      <c r="I135" s="7"/>
      <c r="J135" s="7"/>
    </row>
    <row r="136" spans="1:10" x14ac:dyDescent="0.2">
      <c r="A136" s="6" t="s">
        <v>27</v>
      </c>
      <c r="B136" s="6" t="s">
        <v>19</v>
      </c>
      <c r="C136" s="7"/>
      <c r="D136" s="7"/>
      <c r="E136" s="7"/>
      <c r="F136" s="8"/>
      <c r="G136" s="8" t="s">
        <v>71</v>
      </c>
      <c r="H136" s="7"/>
      <c r="I136" s="7"/>
      <c r="J136" s="7">
        <v>2008</v>
      </c>
    </row>
    <row r="137" spans="1:10" x14ac:dyDescent="0.2">
      <c r="A137" s="6" t="s">
        <v>27</v>
      </c>
      <c r="B137" s="6" t="s">
        <v>19</v>
      </c>
      <c r="C137" s="7"/>
      <c r="D137" s="7"/>
      <c r="E137" s="7"/>
      <c r="F137" s="8"/>
      <c r="G137" s="8" t="s">
        <v>72</v>
      </c>
      <c r="H137" s="7"/>
      <c r="I137" s="7"/>
      <c r="J137" s="7">
        <f>975-150</f>
        <v>825</v>
      </c>
    </row>
    <row r="138" spans="1:10" x14ac:dyDescent="0.2">
      <c r="A138" s="6" t="s">
        <v>27</v>
      </c>
      <c r="B138" s="6" t="s">
        <v>20</v>
      </c>
      <c r="C138" s="7">
        <v>66.5</v>
      </c>
      <c r="D138" s="7">
        <v>462.9</v>
      </c>
      <c r="E138" s="7"/>
      <c r="F138" s="8"/>
      <c r="G138" s="8"/>
      <c r="H138" s="7"/>
      <c r="I138" s="7"/>
      <c r="J138" s="7"/>
    </row>
    <row r="139" spans="1:10" x14ac:dyDescent="0.2">
      <c r="A139" s="6" t="s">
        <v>27</v>
      </c>
      <c r="B139" s="6" t="s">
        <v>21</v>
      </c>
      <c r="C139" s="7"/>
      <c r="D139" s="7">
        <v>1350.4</v>
      </c>
      <c r="E139" s="7">
        <v>16</v>
      </c>
      <c r="F139" s="8"/>
      <c r="G139" s="8"/>
      <c r="H139" s="7"/>
      <c r="I139" s="7"/>
      <c r="J139" s="7"/>
    </row>
    <row r="140" spans="1:10" x14ac:dyDescent="0.2">
      <c r="A140" s="6" t="s">
        <v>27</v>
      </c>
      <c r="B140" s="6" t="s">
        <v>21</v>
      </c>
      <c r="C140" s="7"/>
      <c r="D140" s="7"/>
      <c r="E140" s="7"/>
      <c r="F140" s="8" t="s">
        <v>42</v>
      </c>
      <c r="G140" s="9" t="s">
        <v>144</v>
      </c>
      <c r="H140" s="7"/>
      <c r="I140" s="7">
        <v>560</v>
      </c>
      <c r="J140" s="7"/>
    </row>
    <row r="141" spans="1:10" x14ac:dyDescent="0.2">
      <c r="A141" s="6" t="s">
        <v>27</v>
      </c>
      <c r="B141" s="6" t="s">
        <v>21</v>
      </c>
      <c r="C141" s="7"/>
      <c r="D141" s="7"/>
      <c r="E141" s="7"/>
      <c r="F141" s="8"/>
      <c r="G141" s="8" t="s">
        <v>62</v>
      </c>
      <c r="H141" s="7"/>
      <c r="I141" s="7"/>
      <c r="J141" s="7">
        <v>427</v>
      </c>
    </row>
    <row r="142" spans="1:10" x14ac:dyDescent="0.2">
      <c r="A142" s="6" t="s">
        <v>27</v>
      </c>
      <c r="B142" s="6" t="s">
        <v>22</v>
      </c>
      <c r="C142" s="7"/>
      <c r="D142" s="7"/>
      <c r="E142" s="7"/>
      <c r="F142" s="8"/>
      <c r="G142" s="8" t="s">
        <v>73</v>
      </c>
      <c r="H142" s="7"/>
      <c r="I142" s="7"/>
      <c r="J142" s="7">
        <v>1987</v>
      </c>
    </row>
    <row r="143" spans="1:10" x14ac:dyDescent="0.2">
      <c r="A143" s="6" t="s">
        <v>27</v>
      </c>
      <c r="B143" s="6" t="s">
        <v>22</v>
      </c>
      <c r="C143" s="7"/>
      <c r="D143" s="7">
        <v>497.1</v>
      </c>
      <c r="E143" s="7"/>
      <c r="F143" s="8"/>
      <c r="G143" s="8"/>
      <c r="H143" s="7"/>
      <c r="I143" s="7"/>
      <c r="J143" s="7"/>
    </row>
    <row r="144" spans="1:10" x14ac:dyDescent="0.2">
      <c r="A144" s="6" t="s">
        <v>27</v>
      </c>
      <c r="B144" s="6" t="s">
        <v>22</v>
      </c>
      <c r="C144" s="7"/>
      <c r="D144" s="7"/>
      <c r="E144" s="7"/>
      <c r="F144" s="8"/>
      <c r="G144" s="8" t="s">
        <v>74</v>
      </c>
      <c r="H144" s="7"/>
      <c r="I144" s="7"/>
      <c r="J144" s="7">
        <v>1700</v>
      </c>
    </row>
    <row r="145" spans="1:10" x14ac:dyDescent="0.2">
      <c r="A145" s="6" t="s">
        <v>27</v>
      </c>
      <c r="B145" s="6" t="s">
        <v>22</v>
      </c>
      <c r="C145" s="7"/>
      <c r="D145" s="7"/>
      <c r="E145" s="7"/>
      <c r="F145" s="8"/>
      <c r="G145" s="8" t="s">
        <v>75</v>
      </c>
      <c r="H145" s="7"/>
      <c r="I145" s="7"/>
      <c r="J145" s="7">
        <v>1900</v>
      </c>
    </row>
    <row r="146" spans="1:10" x14ac:dyDescent="0.2">
      <c r="A146" s="6" t="s">
        <v>27</v>
      </c>
      <c r="B146" s="6" t="s">
        <v>23</v>
      </c>
      <c r="C146" s="7"/>
      <c r="D146" s="7"/>
      <c r="E146" s="7"/>
      <c r="F146" s="8"/>
      <c r="G146" s="8" t="s">
        <v>76</v>
      </c>
      <c r="H146" s="7"/>
      <c r="I146" s="7"/>
      <c r="J146" s="7">
        <v>1600</v>
      </c>
    </row>
    <row r="147" spans="1:10" x14ac:dyDescent="0.2">
      <c r="A147" s="6" t="s">
        <v>27</v>
      </c>
      <c r="B147" s="6" t="s">
        <v>23</v>
      </c>
      <c r="C147" s="7"/>
      <c r="D147" s="7">
        <v>788</v>
      </c>
      <c r="E147" s="7">
        <v>18</v>
      </c>
      <c r="F147" s="8"/>
      <c r="G147" s="8"/>
      <c r="H147" s="7"/>
      <c r="I147" s="7"/>
      <c r="J147" s="7"/>
    </row>
    <row r="148" spans="1:10" x14ac:dyDescent="0.2">
      <c r="A148" s="6" t="s">
        <v>27</v>
      </c>
      <c r="B148" s="6" t="s">
        <v>23</v>
      </c>
      <c r="C148" s="7"/>
      <c r="D148" s="7"/>
      <c r="E148" s="7"/>
      <c r="F148" s="8"/>
      <c r="G148" s="8" t="s">
        <v>67</v>
      </c>
      <c r="H148" s="7"/>
      <c r="I148" s="7"/>
      <c r="J148" s="7">
        <v>225</v>
      </c>
    </row>
    <row r="149" spans="1:10" x14ac:dyDescent="0.2">
      <c r="A149" s="6" t="s">
        <v>27</v>
      </c>
      <c r="B149" s="6" t="s">
        <v>24</v>
      </c>
      <c r="C149" s="7"/>
      <c r="D149" s="7"/>
      <c r="E149" s="7"/>
      <c r="F149" s="8"/>
      <c r="G149" s="8" t="s">
        <v>77</v>
      </c>
      <c r="H149" s="7"/>
      <c r="I149" s="7"/>
      <c r="J149" s="7">
        <v>502</v>
      </c>
    </row>
    <row r="150" spans="1:10" x14ac:dyDescent="0.2">
      <c r="A150" s="6" t="s">
        <v>27</v>
      </c>
      <c r="B150" s="6" t="s">
        <v>24</v>
      </c>
      <c r="C150" s="7"/>
      <c r="D150" s="7">
        <v>541.79999999999995</v>
      </c>
      <c r="E150" s="7">
        <v>5</v>
      </c>
      <c r="F150" s="8"/>
      <c r="G150" s="8"/>
      <c r="H150" s="7"/>
      <c r="I150" s="7"/>
      <c r="J150" s="7"/>
    </row>
    <row r="151" spans="1:10" x14ac:dyDescent="0.2">
      <c r="A151" s="6" t="s">
        <v>27</v>
      </c>
      <c r="B151" s="6" t="s">
        <v>24</v>
      </c>
      <c r="C151" s="7"/>
      <c r="D151" s="7"/>
      <c r="E151" s="7"/>
      <c r="F151" s="8"/>
      <c r="G151" s="8" t="s">
        <v>78</v>
      </c>
      <c r="H151" s="7"/>
      <c r="I151" s="7"/>
      <c r="J151" s="7">
        <v>1800</v>
      </c>
    </row>
    <row r="152" spans="1:10" x14ac:dyDescent="0.2">
      <c r="A152" s="6" t="s">
        <v>27</v>
      </c>
      <c r="B152" s="6" t="s">
        <v>24</v>
      </c>
      <c r="C152" s="7"/>
      <c r="D152" s="7"/>
      <c r="E152" s="7"/>
      <c r="F152" s="8"/>
      <c r="G152" s="8" t="s">
        <v>79</v>
      </c>
      <c r="H152" s="7"/>
      <c r="I152" s="7"/>
      <c r="J152" s="7">
        <v>2017</v>
      </c>
    </row>
    <row r="153" spans="1:10" x14ac:dyDescent="0.2">
      <c r="A153" s="6" t="s">
        <v>27</v>
      </c>
      <c r="B153" s="6" t="s">
        <v>25</v>
      </c>
      <c r="C153" s="7">
        <v>76.75</v>
      </c>
      <c r="D153" s="7">
        <v>546.79999999999995</v>
      </c>
      <c r="E153" s="7"/>
      <c r="F153" s="8"/>
      <c r="G153" s="8"/>
      <c r="H153" s="7"/>
      <c r="I153" s="7"/>
      <c r="J153" s="7"/>
    </row>
    <row r="154" spans="1:10" x14ac:dyDescent="0.2">
      <c r="A154" s="6" t="s">
        <v>27</v>
      </c>
      <c r="B154" s="6" t="s">
        <v>25</v>
      </c>
      <c r="C154" s="7"/>
      <c r="D154" s="7"/>
      <c r="E154" s="7"/>
      <c r="F154" s="8"/>
      <c r="G154" s="8" t="s">
        <v>80</v>
      </c>
      <c r="H154" s="7"/>
      <c r="I154" s="7"/>
      <c r="J154" s="7">
        <v>2033</v>
      </c>
    </row>
    <row r="155" spans="1:10" x14ac:dyDescent="0.2">
      <c r="A155" s="6" t="s">
        <v>27</v>
      </c>
      <c r="B155" s="11">
        <v>46281</v>
      </c>
      <c r="C155">
        <v>50</v>
      </c>
      <c r="D155">
        <v>329.3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5"/>
  <sheetViews>
    <sheetView workbookViewId="0">
      <selection activeCell="A73" sqref="A73"/>
    </sheetView>
  </sheetViews>
  <sheetFormatPr baseColWidth="10" defaultColWidth="8.83203125" defaultRowHeight="15" x14ac:dyDescent="0.2"/>
  <cols>
    <col min="1" max="1" width="120" customWidth="1"/>
  </cols>
  <sheetData>
    <row r="1" spans="1:1" ht="19" x14ac:dyDescent="0.25">
      <c r="A1" s="5" t="s">
        <v>81</v>
      </c>
    </row>
    <row r="2" spans="1:1" x14ac:dyDescent="0.2">
      <c r="A2" t="s">
        <v>82</v>
      </c>
    </row>
    <row r="4" spans="1:1" x14ac:dyDescent="0.2">
      <c r="A4" t="s">
        <v>83</v>
      </c>
    </row>
    <row r="5" spans="1:1" x14ac:dyDescent="0.2">
      <c r="A5" t="s">
        <v>84</v>
      </c>
    </row>
    <row r="7" spans="1:1" x14ac:dyDescent="0.2">
      <c r="A7" s="4" t="s">
        <v>85</v>
      </c>
    </row>
    <row r="8" spans="1:1" x14ac:dyDescent="0.2">
      <c r="A8" t="s">
        <v>86</v>
      </c>
    </row>
    <row r="9" spans="1:1" x14ac:dyDescent="0.2">
      <c r="A9" t="s">
        <v>87</v>
      </c>
    </row>
    <row r="10" spans="1:1" x14ac:dyDescent="0.2">
      <c r="A10" t="s">
        <v>88</v>
      </c>
    </row>
    <row r="11" spans="1:1" x14ac:dyDescent="0.2">
      <c r="A11" t="s">
        <v>89</v>
      </c>
    </row>
    <row r="12" spans="1:1" x14ac:dyDescent="0.2">
      <c r="A12" t="s">
        <v>90</v>
      </c>
    </row>
    <row r="13" spans="1:1" x14ac:dyDescent="0.2">
      <c r="A13" t="s">
        <v>91</v>
      </c>
    </row>
    <row r="14" spans="1:1" x14ac:dyDescent="0.2">
      <c r="A14" t="s">
        <v>92</v>
      </c>
    </row>
    <row r="16" spans="1:1" x14ac:dyDescent="0.2">
      <c r="A16" s="4" t="s">
        <v>93</v>
      </c>
    </row>
    <row r="17" spans="1:1" x14ac:dyDescent="0.2">
      <c r="A17" t="s">
        <v>94</v>
      </c>
    </row>
    <row r="18" spans="1:1" x14ac:dyDescent="0.2">
      <c r="A18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2" spans="1:1" x14ac:dyDescent="0.2">
      <c r="A22" t="s">
        <v>98</v>
      </c>
    </row>
    <row r="23" spans="1:1" x14ac:dyDescent="0.2">
      <c r="A23" t="s">
        <v>99</v>
      </c>
    </row>
    <row r="24" spans="1:1" x14ac:dyDescent="0.2">
      <c r="A24" t="s">
        <v>100</v>
      </c>
    </row>
    <row r="25" spans="1:1" x14ac:dyDescent="0.2">
      <c r="A25" t="s">
        <v>101</v>
      </c>
    </row>
    <row r="27" spans="1:1" x14ac:dyDescent="0.2">
      <c r="A27" s="4" t="s">
        <v>102</v>
      </c>
    </row>
    <row r="28" spans="1:1" x14ac:dyDescent="0.2">
      <c r="A28" t="s">
        <v>103</v>
      </c>
    </row>
    <row r="29" spans="1:1" x14ac:dyDescent="0.2">
      <c r="A29" t="s">
        <v>104</v>
      </c>
    </row>
    <row r="30" spans="1:1" x14ac:dyDescent="0.2">
      <c r="A30" t="s">
        <v>105</v>
      </c>
    </row>
    <row r="32" spans="1:1" x14ac:dyDescent="0.2">
      <c r="A32" t="s">
        <v>106</v>
      </c>
    </row>
    <row r="33" spans="1:1" x14ac:dyDescent="0.2">
      <c r="A33" t="s">
        <v>107</v>
      </c>
    </row>
    <row r="34" spans="1:1" x14ac:dyDescent="0.2">
      <c r="A34" t="s">
        <v>108</v>
      </c>
    </row>
    <row r="36" spans="1:1" x14ac:dyDescent="0.2">
      <c r="A36" t="s">
        <v>109</v>
      </c>
    </row>
    <row r="37" spans="1:1" x14ac:dyDescent="0.2">
      <c r="A37" t="s">
        <v>110</v>
      </c>
    </row>
    <row r="38" spans="1:1" x14ac:dyDescent="0.2">
      <c r="A38" t="s">
        <v>111</v>
      </c>
    </row>
    <row r="39" spans="1:1" x14ac:dyDescent="0.2">
      <c r="A39" t="s">
        <v>112</v>
      </c>
    </row>
    <row r="40" spans="1:1" x14ac:dyDescent="0.2">
      <c r="A40" t="s">
        <v>113</v>
      </c>
    </row>
    <row r="41" spans="1:1" x14ac:dyDescent="0.2">
      <c r="A41" t="s">
        <v>114</v>
      </c>
    </row>
    <row r="43" spans="1:1" x14ac:dyDescent="0.2">
      <c r="A43" t="s">
        <v>115</v>
      </c>
    </row>
    <row r="44" spans="1:1" x14ac:dyDescent="0.2">
      <c r="A44" t="s">
        <v>116</v>
      </c>
    </row>
    <row r="46" spans="1:1" x14ac:dyDescent="0.2">
      <c r="A46" t="s">
        <v>117</v>
      </c>
    </row>
    <row r="47" spans="1:1" x14ac:dyDescent="0.2">
      <c r="A47" t="s">
        <v>118</v>
      </c>
    </row>
    <row r="48" spans="1:1" x14ac:dyDescent="0.2">
      <c r="A48" t="s">
        <v>119</v>
      </c>
    </row>
    <row r="50" spans="1:1" x14ac:dyDescent="0.2">
      <c r="A50" s="4" t="s">
        <v>120</v>
      </c>
    </row>
    <row r="51" spans="1:1" x14ac:dyDescent="0.2">
      <c r="A51" t="s">
        <v>121</v>
      </c>
    </row>
    <row r="53" spans="1:1" x14ac:dyDescent="0.2">
      <c r="A53" t="s">
        <v>122</v>
      </c>
    </row>
    <row r="54" spans="1:1" x14ac:dyDescent="0.2">
      <c r="A54" t="s">
        <v>123</v>
      </c>
    </row>
    <row r="55" spans="1:1" x14ac:dyDescent="0.2">
      <c r="A55" t="s">
        <v>124</v>
      </c>
    </row>
    <row r="56" spans="1:1" x14ac:dyDescent="0.2">
      <c r="A56" t="s">
        <v>125</v>
      </c>
    </row>
    <row r="57" spans="1:1" x14ac:dyDescent="0.2">
      <c r="A57" t="s">
        <v>126</v>
      </c>
    </row>
    <row r="58" spans="1:1" x14ac:dyDescent="0.2">
      <c r="A58" t="s">
        <v>127</v>
      </c>
    </row>
    <row r="60" spans="1:1" x14ac:dyDescent="0.2">
      <c r="A60" t="s">
        <v>128</v>
      </c>
    </row>
    <row r="61" spans="1:1" x14ac:dyDescent="0.2">
      <c r="A61" t="s">
        <v>129</v>
      </c>
    </row>
    <row r="62" spans="1:1" x14ac:dyDescent="0.2">
      <c r="A62" t="s">
        <v>130</v>
      </c>
    </row>
    <row r="63" spans="1:1" x14ac:dyDescent="0.2">
      <c r="A63" t="s">
        <v>131</v>
      </c>
    </row>
    <row r="64" spans="1:1" x14ac:dyDescent="0.2">
      <c r="A64" t="s">
        <v>132</v>
      </c>
    </row>
    <row r="66" spans="1:1" x14ac:dyDescent="0.2">
      <c r="A66" t="s">
        <v>133</v>
      </c>
    </row>
    <row r="67" spans="1:1" x14ac:dyDescent="0.2">
      <c r="A67" t="s">
        <v>134</v>
      </c>
    </row>
    <row r="69" spans="1:1" x14ac:dyDescent="0.2">
      <c r="A69" s="4" t="s">
        <v>135</v>
      </c>
    </row>
    <row r="70" spans="1:1" x14ac:dyDescent="0.2">
      <c r="A70" t="s">
        <v>136</v>
      </c>
    </row>
    <row r="71" spans="1:1" x14ac:dyDescent="0.2">
      <c r="A71" t="s">
        <v>137</v>
      </c>
    </row>
    <row r="73" spans="1:1" x14ac:dyDescent="0.2">
      <c r="A73" s="4" t="s">
        <v>138</v>
      </c>
    </row>
    <row r="74" spans="1:1" x14ac:dyDescent="0.2">
      <c r="A74" t="s">
        <v>139</v>
      </c>
    </row>
    <row r="75" spans="1:1" x14ac:dyDescent="0.2">
      <c r="A75" t="s">
        <v>140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 Sales</vt:lpstr>
      <vt:lpstr>Cash Visa Tips Credit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Salah</cp:lastModifiedBy>
  <dcterms:created xsi:type="dcterms:W3CDTF">2026-09-16T07:29:49Z</dcterms:created>
  <dcterms:modified xsi:type="dcterms:W3CDTF">2026-09-18T09:16:17Z</dcterms:modified>
  <cp:category/>
</cp:coreProperties>
</file>